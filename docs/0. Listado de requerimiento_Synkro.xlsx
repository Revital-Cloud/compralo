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E:\GESTIÓN DEL PROYECTO  - BPI\INGENIERIA DE REQUERIMIENTOS\"/>
    </mc:Choice>
  </mc:AlternateContent>
  <xr:revisionPtr revIDLastSave="0" documentId="8_{A8585A6F-9732-4309-80CF-F25FA085D641}" xr6:coauthVersionLast="47" xr6:coauthVersionMax="47" xr10:uidLastSave="{00000000-0000-0000-0000-000000000000}"/>
  <bookViews>
    <workbookView xWindow="-120" yWindow="-120" windowWidth="29040" windowHeight="15720" tabRatio="695" firstSheet="6" activeTab="6" xr2:uid="{49484DEF-EB24-44F9-885B-D265DD78167E}"/>
  </bookViews>
  <sheets>
    <sheet name="Conceptos técnicos" sheetId="22" r:id="rId1"/>
    <sheet name="Funcionales generales" sheetId="50" r:id="rId2"/>
    <sheet name="No funcionales generales" sheetId="6" r:id="rId3"/>
    <sheet name="Funcionales DB" sheetId="51" r:id="rId4"/>
    <sheet name="No funcionales DB" sheetId="52" r:id="rId5"/>
    <sheet name="Funcionales synkro" sheetId="30" r:id="rId6"/>
    <sheet name="No funcionales synkro" sheetId="31" r:id="rId7"/>
    <sheet name="Funcionales Home" sheetId="25" r:id="rId8"/>
    <sheet name="No Funcionales Home" sheetId="38" r:id="rId9"/>
    <sheet name="Funcionales Shop" sheetId="16" r:id="rId10"/>
    <sheet name="No Funcionales Shop" sheetId="39" r:id="rId11"/>
    <sheet name="Funcionales Producto" sheetId="28" r:id="rId12"/>
    <sheet name="No Funcionales Producto" sheetId="41" r:id="rId13"/>
    <sheet name="Funcionales Carrito" sheetId="29" r:id="rId14"/>
    <sheet name="No Funcionales Carrito" sheetId="40" r:id="rId15"/>
    <sheet name="Funcionales Checkout" sheetId="17" r:id="rId16"/>
    <sheet name="No Funcionales Checkout " sheetId="42" r:id="rId17"/>
    <sheet name="Funcionales Ordenes" sheetId="18" r:id="rId18"/>
    <sheet name="No Funcionales Ordenes" sheetId="43" r:id="rId19"/>
    <sheet name="Funcionales Favoritos" sheetId="26" r:id="rId20"/>
    <sheet name="No Funcionales Favoritos" sheetId="45" r:id="rId21"/>
    <sheet name="Funcionales Dashboard Admin" sheetId="19" r:id="rId22"/>
    <sheet name="No Funcionales Dashboard Admin" sheetId="44" r:id="rId23"/>
    <sheet name="Funcionales Gestión Productos" sheetId="12" r:id="rId24"/>
    <sheet name="NoFuncionales Gestión Productos" sheetId="46" r:id="rId25"/>
    <sheet name="Funcionales Gestión Categorías" sheetId="36" r:id="rId26"/>
    <sheet name="No Funcional Gestión Categoria" sheetId="47" r:id="rId27"/>
    <sheet name="Funcionales Gestión Usuarios" sheetId="35" r:id="rId28"/>
    <sheet name="Funcionales Gestión Descuentos" sheetId="34" r:id="rId29"/>
    <sheet name="No Funcionales Gestión Descuen" sheetId="48" r:id="rId30"/>
    <sheet name="Funcionales Autenticación" sheetId="33" r:id="rId31"/>
    <sheet name="No Funcionales Autenticación" sheetId="49" r:id="rId32"/>
    <sheet name="Funcionales Pasarela de Pago" sheetId="32" r:id="rId33"/>
    <sheet name="Funcionales Notificaciones" sheetId="37" r:id="rId34"/>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2" l="1"/>
  <c r="I6" i="6"/>
  <c r="I7" i="22"/>
  <c r="I5" i="22"/>
  <c r="I4" i="22"/>
  <c r="I3" i="22"/>
  <c r="L4" i="52"/>
  <c r="L3" i="52"/>
  <c r="L4" i="51"/>
  <c r="L3" i="51"/>
  <c r="L4" i="37"/>
  <c r="L3" i="37"/>
  <c r="L4" i="32"/>
  <c r="L3" i="32"/>
  <c r="L4" i="49"/>
  <c r="L3" i="49"/>
  <c r="L4" i="33"/>
  <c r="L3" i="33"/>
  <c r="L4" i="48"/>
  <c r="L3" i="48"/>
  <c r="L4" i="34"/>
  <c r="L3" i="34"/>
  <c r="L4" i="35"/>
  <c r="L3" i="35"/>
  <c r="L4" i="47"/>
  <c r="L3" i="47"/>
  <c r="L4" i="36"/>
  <c r="L3" i="36"/>
  <c r="L4" i="46"/>
  <c r="L3" i="46"/>
  <c r="L4" i="12"/>
  <c r="L3" i="12"/>
  <c r="L4" i="44"/>
  <c r="L3" i="44"/>
  <c r="L4" i="19"/>
  <c r="L3" i="19"/>
  <c r="L4" i="45"/>
  <c r="L3" i="45"/>
  <c r="L4" i="26"/>
  <c r="L3" i="26"/>
  <c r="L4" i="43"/>
  <c r="L3" i="43"/>
  <c r="L4" i="18"/>
  <c r="L3" i="18"/>
  <c r="L4" i="42"/>
  <c r="L3" i="42"/>
  <c r="L4" i="17"/>
  <c r="L3" i="17"/>
  <c r="L4" i="40"/>
  <c r="L3" i="40"/>
  <c r="L4" i="29"/>
  <c r="L3" i="29"/>
  <c r="L4" i="41"/>
  <c r="L3" i="41"/>
  <c r="L4" i="28"/>
  <c r="L3" i="28"/>
  <c r="L4" i="39"/>
  <c r="L3" i="39"/>
  <c r="L4" i="16"/>
  <c r="L3" i="16"/>
  <c r="L4" i="38"/>
  <c r="L3" i="38"/>
  <c r="L4" i="25"/>
  <c r="L3" i="25"/>
  <c r="L4" i="30"/>
  <c r="L3" i="30"/>
  <c r="L4" i="50"/>
  <c r="L3" i="50"/>
  <c r="L4" i="6"/>
  <c r="L3" i="6"/>
  <c r="C4" i="29"/>
  <c r="L4" i="31"/>
  <c r="L3" i="31"/>
  <c r="L6" i="52" l="1"/>
  <c r="L6" i="51"/>
  <c r="L5" i="37"/>
  <c r="L5" i="32"/>
  <c r="L5" i="49"/>
  <c r="L5" i="33"/>
  <c r="L5" i="48"/>
  <c r="L5" i="34"/>
  <c r="L5" i="35"/>
  <c r="L5" i="47"/>
  <c r="L5" i="36"/>
  <c r="L5" i="46"/>
  <c r="L5" i="12"/>
  <c r="L5" i="44"/>
  <c r="L5" i="19"/>
  <c r="L5" i="45"/>
  <c r="L5" i="26"/>
  <c r="L5" i="43"/>
  <c r="L5" i="18"/>
  <c r="L5" i="42"/>
  <c r="L5" i="17"/>
  <c r="L5" i="40"/>
  <c r="L5" i="29"/>
  <c r="L5" i="41"/>
  <c r="L5" i="28"/>
  <c r="L5" i="39"/>
  <c r="L5" i="16"/>
  <c r="L5" i="38"/>
  <c r="L6" i="25"/>
  <c r="L6" i="30"/>
  <c r="L6" i="50"/>
  <c r="L6" i="6"/>
  <c r="L6" i="31"/>
</calcChain>
</file>

<file path=xl/sharedStrings.xml><?xml version="1.0" encoding="utf-8"?>
<sst xmlns="http://schemas.openxmlformats.org/spreadsheetml/2006/main" count="1543" uniqueCount="533">
  <si>
    <t>PALABRA</t>
  </si>
  <si>
    <t xml:space="preserve">CONCEPTO TÉCNICO </t>
  </si>
  <si>
    <t>ESTADISTICAS</t>
  </si>
  <si>
    <t>HTML</t>
  </si>
  <si>
    <t>El Lenguaje de Marcado de Hipertexto (HTML) es el código que se utiliza para estructurar y desplegar una página web y sus contenidos. Por ejemplo, sus contenidos podrían ser párrafos, una lista con viñetas, o imágenes y tablas de datos.</t>
  </si>
  <si>
    <t>Requerimientos</t>
  </si>
  <si>
    <t>Funcionales</t>
  </si>
  <si>
    <t>CSS</t>
  </si>
  <si>
    <t>Hojas de Estilo en Cascada (del inglés Cascading Style Sheets) o CSS es el lenguaje de estilos utilizado para describir la presentación de documentos HTML o XML (en-US) (incluyendo varios lenguajes basados en XML como SVG, MathML o XHTML).</t>
  </si>
  <si>
    <t>No Funcionales</t>
  </si>
  <si>
    <t>JavaScript</t>
  </si>
  <si>
    <t>JavaScript es un lenguaje de programación o de secuencias de comandos que te permite implementar funciones complejas en páginas web, cada vez que una página web hace algo más que sentarse allí y mostrar información estática para que la veas, muestra oportunas actualizaciones de contenido, mapas interactivos, animación de Gráficos 2D/3D, desplazamiento de máquinas reproductoras de vídeo, etc., puedes apostar que probablemente JavaScript está involucrado.</t>
  </si>
  <si>
    <t>TOTALES</t>
  </si>
  <si>
    <t>VISTA</t>
  </si>
  <si>
    <t>En el desarrollo web, una vista puede ser una página web, pero también puede ser cualquier tipo de componente de la interfaz de usuario, como un encabezado, un pie de página, un formulario, etc.</t>
  </si>
  <si>
    <t>Cumplidos</t>
  </si>
  <si>
    <t>React</t>
  </si>
  <si>
    <r>
      <t>Es una </t>
    </r>
    <r>
      <rPr>
        <sz val="11"/>
        <color rgb="FF040C28"/>
        <rFont val="Calibri"/>
        <scheme val="minor"/>
      </rPr>
      <t>biblioteca Javascript de código abierto diseñada para crear interfaces de usuario con el objetivo de facilitar el desarrollo de aplicaciones en una sola página</t>
    </r>
    <r>
      <rPr>
        <sz val="11"/>
        <color rgb="FF474747"/>
        <rFont val="Calibri"/>
        <scheme val="minor"/>
      </rPr>
      <t>. </t>
    </r>
  </si>
  <si>
    <t>Porcentaje de cumplimiento</t>
  </si>
  <si>
    <t>TypeScript</t>
  </si>
  <si>
    <r>
      <t>Es un </t>
    </r>
    <r>
      <rPr>
        <sz val="11"/>
        <color rgb="FF000000"/>
        <rFont val="Calibri"/>
        <scheme val="minor"/>
      </rPr>
      <t>lenguaje de programación de código abierto, creado por Microsoft, que se basa en JavaScript y añade tipos estáticos y otras características para mejorar la seguridad y la escalabilidad en el desarrollo web y de aplicaciones</t>
    </r>
    <r>
      <rPr>
        <sz val="11"/>
        <color rgb="FF1F1F1F"/>
        <rFont val="Calibri"/>
        <scheme val="minor"/>
      </rPr>
      <t>.</t>
    </r>
  </si>
  <si>
    <t>Nextjs</t>
  </si>
  <si>
    <r>
      <t>Es un framework JavaScript ligero y de código abierto creado sobre React, que permite desarrollar aplicaciones y sitios web muy rápidos y fáciles de usar</t>
    </r>
    <r>
      <rPr>
        <sz val="11"/>
        <color rgb="FF474747"/>
        <rFont val="Calibri"/>
        <scheme val="minor"/>
      </rPr>
      <t>.</t>
    </r>
  </si>
  <si>
    <t>Python</t>
  </si>
  <si>
    <t>Python es un lenguaje de programación potente y fácil de aprender. Tiene estructuras de datos de alto nivel eficientes y un simple pero efectivo sistema de programación orientado a objetos.</t>
  </si>
  <si>
    <t>FastAPI</t>
  </si>
  <si>
    <t>FastAPI es un framework web moderno, rápido (de alto rendimiento), para construir APIs con Python basado en las anotaciones de tipos estándar de Python.</t>
  </si>
  <si>
    <t>PostgreSQL</t>
  </si>
  <si>
    <t>Sistema de gestión de bases de datos relacionales de código abierto</t>
  </si>
  <si>
    <t>Tailwind CSS</t>
  </si>
  <si>
    <t>Framework de CSS utilitario para diseño rápido y responsivo</t>
  </si>
  <si>
    <t>JWT</t>
  </si>
  <si>
    <t>JSON Web Token para autenticación y autorización segura</t>
  </si>
  <si>
    <t>Pydantic</t>
  </si>
  <si>
    <t>Biblioteca Python para validación de datos usando anotaciones de tipos</t>
  </si>
  <si>
    <t>API REST</t>
  </si>
  <si>
    <t>Arquitectura para servicios web que utiliza métodos HTTP estándar</t>
  </si>
  <si>
    <t>Middleware</t>
  </si>
  <si>
    <t>Software que actúa como puente entre diferentes aplicaciones o servicios</t>
  </si>
  <si>
    <t>CORS</t>
  </si>
  <si>
    <t>Cross-Origin Resource Sharing para permitir solicitudes entre dominios</t>
  </si>
  <si>
    <t>Shadcn/ui</t>
  </si>
  <si>
    <t>Biblioteca de componentes UI reutilizables para React</t>
  </si>
  <si>
    <t>Transacciones ACID</t>
  </si>
  <si>
    <t>Transacciones ACID son un conjunto de reglas que garantizan que una operación en una base de datos se ejecute de forma segura y confiable. Significa que la transacción debe hacerse completamente o no hacerse (atómica), debe mantener la integridad de los datos (consistente), no debe verse afectada por otras transacciones al mismo tiempo (aislada) y sus resultados deben mantenerse incluso si ocurre un fallo (duradera).</t>
  </si>
  <si>
    <t>CRUD</t>
  </si>
  <si>
    <t>CRUD es un conjunto de operaciones básicas que se pueden hacer con los datos: crear, leer, actualizar y eliminar información.</t>
  </si>
  <si>
    <t>Docker</t>
  </si>
  <si>
    <t>Load balancing</t>
  </si>
  <si>
    <t>Swagger</t>
  </si>
  <si>
    <t>OpenAPI</t>
  </si>
  <si>
    <t>HTTP</t>
  </si>
  <si>
    <t>HTTPS</t>
  </si>
  <si>
    <t>Bcrypt</t>
  </si>
  <si>
    <t>DDoS</t>
  </si>
  <si>
    <t>Cookies</t>
  </si>
  <si>
    <t>Normativas de datos GDPR</t>
  </si>
  <si>
    <t>Lazy Loading</t>
  </si>
  <si>
    <t>CSRF</t>
  </si>
  <si>
    <t>JSON</t>
  </si>
  <si>
    <t>XML</t>
  </si>
  <si>
    <t>UTF-8</t>
  </si>
  <si>
    <t>Slider</t>
  </si>
  <si>
    <t>Sidebar</t>
  </si>
  <si>
    <t>Newsletter</t>
  </si>
  <si>
    <t>Notifiaciones TOAST</t>
  </si>
  <si>
    <t>LISTADO DE REQUERIMIENTOS DE SYNKRO</t>
  </si>
  <si>
    <t>Requirimientos</t>
  </si>
  <si>
    <t>SI</t>
  </si>
  <si>
    <t>Marque con una equis (X) si el sistema cumple con la función descrita</t>
  </si>
  <si>
    <t>NO</t>
  </si>
  <si>
    <t>Marque con una equis (X) si el sistema no cumple con la función descrita</t>
  </si>
  <si>
    <t>ADI</t>
  </si>
  <si>
    <t>Marque con una equis (X) si el sistema debe adicionar la función descrita</t>
  </si>
  <si>
    <t>Porcentaje</t>
  </si>
  <si>
    <t>Observaciones:</t>
  </si>
  <si>
    <t>Espacio para complementar respuestas</t>
  </si>
  <si>
    <t>Nivel de cumplimiento</t>
  </si>
  <si>
    <t>OBSERVACIONES</t>
  </si>
  <si>
    <t>REQUISITOS FUNCIONALES GENERALES</t>
  </si>
  <si>
    <t>El sistema debe garantizar la seguridad de los datos almacenados mediante encriptación de contraseñas, autenticación basada en JWT y control de acceso por roles (admin, usuario)</t>
  </si>
  <si>
    <t>X</t>
  </si>
  <si>
    <t>El sistema debe permitir el manejo de datos personales por medio de cookies</t>
  </si>
  <si>
    <t>El sistema debe estar disponible 24/7 con un tiempo de actividad mínimo del 99%</t>
  </si>
  <si>
    <t>El sistema es multiusuario con roles diferenciados (administradores y clientes)</t>
  </si>
  <si>
    <t>El sistema debe ser compatible con navegadores modernos Chrome, Firefox, Safari, Edge</t>
  </si>
  <si>
    <t>El sistema debe permitir la encripción de contraseñas</t>
  </si>
  <si>
    <t>El sistema debe cumplir con normativas de protección de datos GDPR/LGPD</t>
  </si>
  <si>
    <t>El sistema debe soportar dispositivos móviles y tablets responsivamente</t>
  </si>
  <si>
    <t>El sistema debe bloquear una cuenta después de 5 intentos fallidos de inicio de sesión</t>
  </si>
  <si>
    <t>El sistema debe permitir al usuario la elección de planes para el arrendamiento de synkro</t>
  </si>
  <si>
    <t>El sistema debe permitir gestionar el manejo de back-order</t>
  </si>
  <si>
    <t>El sistema debe incluir herramientas de accesibilidad</t>
  </si>
  <si>
    <t>El sistema de planes debe incluir Ad-ons (cargas )</t>
  </si>
  <si>
    <t>El modelo de negocio debe permitir la implementación de clientes potenciales</t>
  </si>
  <si>
    <t>REQUISITOS NO FUNCIONALES GENERALES</t>
  </si>
  <si>
    <t>El sistema debe validar que todos los datos de entrada (productos, usuarios, proveedores,etc) estén completos mediante esquemas Pydantic y mostrar mensajes de error específicos para campos faltantes o inválidos</t>
  </si>
  <si>
    <t>El sistema debe ser capaz de escalar horizontalmente para adaptarse al crecimiento de usuarios y productos sin afectar el rendimiento mediante pooling de conexiones y cache</t>
  </si>
  <si>
    <t xml:space="preserve">
La base de datos PostgreSQL debe permitir respaldos automáticos, gestión de transacciones ACID y optimización de consultas</t>
  </si>
  <si>
    <t>El sistema debe integrar con servicios externos de pagos (futuro) y notificaciones mediante APIs REST</t>
  </si>
  <si>
    <t>El sistema debe tener un tiempo máximo de respuesta de 2 segundos para operaciones CRUD de productos, usuarios y proveedores</t>
  </si>
  <si>
    <t>Los permisos de acceso al sistema podrán ser gestionados solo por usuarios con rol de administrador</t>
  </si>
  <si>
    <t>El sistema debe tener una disponibilidad del 99.9% mediante deployment con contenedores Docker y load balancing</t>
  </si>
  <si>
    <t xml:space="preserve">
El sistema debe utilizar PostgreSQL como motor de base de datos con funciones almacenadas para operaciones complejas</t>
  </si>
  <si>
    <t>El sistema debe contar con documentación API automática generada por FastAPI (Swagger/OpenAPI) y manuales de usuario</t>
  </si>
  <si>
    <t>El sistema debe procesar al menos 100 transacciones por segundo bajo carga normal</t>
  </si>
  <si>
    <t>El sistema debe manejar errores de forma centralizada con logging estructurado y códigos de estado HTTP apropiados</t>
  </si>
  <si>
    <t>El sistema debe mantener sesiones de usuario por 24 horas con renovación automática</t>
  </si>
  <si>
    <t>El sistema debe encriptar contraseñas usando algoritmos argon2 o similares</t>
  </si>
  <si>
    <t>El sistema debe implementar rate limiting para prevenir ataques DDoS</t>
  </si>
  <si>
    <t>La búsqueda de productos debe responder en menos de 300ms</t>
  </si>
  <si>
    <t>El carrito debe calcular totales en menos de 100ms</t>
  </si>
  <si>
    <t>Los filtros de productos deben responder en menos de 200ms</t>
  </si>
  <si>
    <t>El sistema debe implementar lazy loading para mejorar velocidad inicial</t>
  </si>
  <si>
    <t>Las APIs deben responder en menos de 500ms para operaciones CRUD</t>
  </si>
  <si>
    <t xml:space="preserve">
El sistema debe cargar cualquier página en menos de 3 segundos</t>
  </si>
  <si>
    <t>Debe soportar hasta 1 millón de productos en catálogo</t>
  </si>
  <si>
    <t>Todas las comunicaciones deben usar HTTPS/TLS 1.3</t>
  </si>
  <si>
    <t>Implementar CSRF protection en formularios</t>
  </si>
  <si>
    <t>Validación y sanitización de todas las entradas</t>
  </si>
  <si>
    <t>Formularios deben validarse en tiempo real</t>
  </si>
  <si>
    <t>Mensajes de error deben ser claros y accionables</t>
  </si>
  <si>
    <t>Documentación técnica debe actualizarse automáticamente</t>
  </si>
  <si>
    <t>Logs estructurados para debugging eficiente</t>
  </si>
  <si>
    <t>Alertas automáticas para errores críticos</t>
  </si>
  <si>
    <t>Política de privacidad actualizada y accesible</t>
  </si>
  <si>
    <t>Soporte para formatos de datos estándar (JSON, XML)</t>
  </si>
  <si>
    <t>Integración con servicios de email marketing</t>
  </si>
  <si>
    <t>Compresión automática de respuestas HTTP</t>
  </si>
  <si>
    <t>Soporte para caracteres Unicode (UTF-8)</t>
  </si>
  <si>
    <t>REQUISITOS FUNCIONALES DB</t>
  </si>
  <si>
    <t xml:space="preserve">El sistema debe tener la capacidad de almacenar datos de manera organizada </t>
  </si>
  <si>
    <t>REQUISITOS NO FUNCIONALES DB</t>
  </si>
  <si>
    <t>La base de datos del sistema debe permitir integridad relacional</t>
  </si>
  <si>
    <t>x</t>
  </si>
  <si>
    <t>La base de datos del sistema debe estar normalizada teniendo en cuenta las 13 leyes de codd</t>
  </si>
  <si>
    <t>Las consultas SELECT en `tab_productos` con filtros por categoría, línea y sublínea deben ejecutarse en menos de 200ms para hasta 10,000 productos</t>
  </si>
  <si>
    <t>La búsqueda por `nom_producto` usando LIKE o full-text search debe retornar resultados en menos de 300ms</t>
  </si>
  <si>
    <t>La recuperación completa de productos del carrito (`tab_carrito_productos` con JOINs) debe ejecutarse en menos de 150ms.</t>
  </si>
  <si>
    <t>La inserción de una orden completa en `tab_ordenes` y `tab_orden_productos` debe completarse en menos de 1 segundo.</t>
  </si>
  <si>
    <t>La actualización de `num_stock` en `tab_productos` y registro en `tab_movimientos_inventario` debe ser atómica y completarse en menos de 100ms.</t>
  </si>
  <si>
    <t>La consulta de `puntos_disponibles` en `tab_puntos_usuario` debe ejecutarse en menos de 50ms.</t>
  </si>
  <si>
    <t>La consulta de descuentos aplicables en `tab_descuentos` con todas las validaciones de fechas y condiciones debe ejecutarse en menos de 200ms.</t>
  </si>
  <si>
    <t>La consulta de historial en `tab_movimientos_puntos` por usuario debe retornar resultados en menos de 300ms para hasta 1000 movimientos.</t>
  </si>
  <si>
    <t>La consulta en `tab_resumen_ventas_producto` y `tab_resumen_ventas_categoria` debe generar reportes en menos de 2 segundos.</t>
  </si>
  <si>
    <t>La consulta de productos favoritos en `tab_favoritos` debe ejecutarse en menos de 100ms.</t>
  </si>
  <si>
    <t>El sistema debe soportar 1,000 usuarios simultáneos navegando el catálogo sin degradación de performance.</t>
  </si>
  <si>
    <t>`tab_productos` debe soportar hasta 10 millones de registros con `ind_activo = TRUE` manteniendo performance.</t>
  </si>
  <si>
    <t>`tab_ordenes` debe manejar hasta 100 millones de registros con particionamiento por fecha.</t>
  </si>
  <si>
    <t>`tab_movimientos_inventario` debe escalar hasta 50 millones de registros con archivado automático.</t>
  </si>
  <si>
    <t>El sistema debe procesar mínimo 500 transacciones por segundo en `tab_ordenes` durante picos de demanda.</t>
  </si>
  <si>
    <t>El sistema debe mantener 99.9% de uptime, con máximo 8.77 horas de downtime por año.</t>
  </si>
  <si>
    <t>En caso de fallo de base de datos, el sistema debe recuperarse en menos de 15 minutos.</t>
  </si>
  <si>
    <t>En caso de fallo, la pérdida máxima de datos debe ser de 1 hora (RPO).</t>
  </si>
  <si>
    <t>`tab_usuarios`, `tab_ordenes`, `tab_productos`, `tab_puntos_usuario` deben tener backup cada 6 horas.</t>
  </si>
  <si>
    <t>Las transacciones en `tab_ordenes` y `tab_orden_productos` deben ser completamente ACID.</t>
  </si>
  <si>
    <t>Las actualizaciones de `num_stock` en `tab_productos` deben ser consistentes con `tab_movimientos_inventario`.</t>
  </si>
  <si>
    <t xml:space="preserve"> Los puntos en `tab_puntos_usuario` deben ser consistentes con `tab_movimientos_puntos`.</t>
  </si>
  <si>
    <t>Todas las FK en el sistema deben ser validadas antes de inserción, especialmente las compuestas en `tab_productos`.</t>
  </si>
  <si>
    <t>Todas las transacciones deben poder hacer rollback completo en caso de error.</t>
  </si>
  <si>
    <t>Los bloqueos en `tab_productos` durante actualizaciones de inventario no deben exceder 100ms.</t>
  </si>
  <si>
    <t>`password_usuario` en `tab_usuarios` debe estar encriptado con bcrypt o algoritmo equivalente.</t>
  </si>
  <si>
    <t>`email_usuario` y `cel_usuario` en `tab_usuarios` deben estar protegidos contra acceso no autorizado.</t>
  </si>
  <si>
    <t>Todos los cambios en `tab_usuarios`, `tab_ordenes`, `tab_productos` deben quedar registrados con `usr_update` y `fec_update`.</t>
  </si>
  <si>
    <t>El acceso a tablas debe estar controlado por los roles definidos en `tab_roles` y `tab_roles_menu`.</t>
  </si>
  <si>
    <t>Todas las consultas a `tab_productos` y `tab_usuarios` deben usar prepared statements.</t>
  </si>
  <si>
    <t>Todas las conexiones a la base de datos deben usar SSL/TLS.</t>
  </si>
  <si>
    <t xml:space="preserve"> Los datos eliminados deben quedar registrados en `tab_reg_del` para auditoría.</t>
  </si>
  <si>
    <t>Todos los campos de entrada en `tab_usuarios` deben ser validados contra patrones maliciosos.</t>
  </si>
  <si>
    <t>Las sesiones inactivas en `tab_carritos` deben expirar después de 30 minutos.</t>
  </si>
  <si>
    <t>Los intentos fallidos de acceso deben ser limitados para prevenir ataques de fuerza bruta.</t>
  </si>
  <si>
    <t>Todas las tablas deben tener comentarios explicativos de su propósito y relaciones.</t>
  </si>
  <si>
    <t>Todos los cambios en el esquema deben estar versionados y documentados.</t>
  </si>
  <si>
    <t>Todos los cambios en `tab_productos` y tablas relacionadas deben tener scripts de migración.</t>
  </si>
  <si>
    <t>Los cambios de esquema deben poder revertirse sin pérdida de datos.</t>
  </si>
  <si>
    <t>Las consultas lentas en `tab_productos` y `tab_ordenes` deben ser detectadas automáticamente.</t>
  </si>
  <si>
    <t>Alertas automáticas cuando `tab_movimientos_inventario` alcance 80% del espacio asignado.</t>
  </si>
  <si>
    <t>Los registros antiguos en `tab_carritos` sin actividad por más de 30 días deben eliminarse automáticamente.</t>
  </si>
  <si>
    <t>Todas las consultas frecuentes en `tab_productos` deben tener índices específicos.</t>
  </si>
  <si>
    <t>`tab_ordenes` debe estar particionada por `fec_pedido` para optimizar consultas históricas.</t>
  </si>
  <si>
    <t>Los registros en `tab_movimientos_inventario` mayores a 2 años deben archivarse automáticamente.</t>
  </si>
  <si>
    <t>`tab_usuarios` debe soportar hasta 1 millón de usuarios registrados sin degradación.</t>
  </si>
  <si>
    <t>`tab_productos` debe manejar hasta 10 millones de productos con performance óptima.</t>
  </si>
  <si>
    <t>`tab_ordenes` debe procesar hasta 50,000 órdenes diarias sin problemas de performance.</t>
  </si>
  <si>
    <t>`img_producto` en `tab_productos` debe soportar URLs de hasta 500 caracteres.</t>
  </si>
  <si>
    <t>`spcf_producto` en `tab_productos` debe soportar documentos JSON de hasta 16MB.</t>
  </si>
  <si>
    <t>`tab_movimientos_puntos` debe retener historial completo por 5 años.</t>
  </si>
  <si>
    <t>El sistema debe planificarse para 20% de crecimiento anual en todas las tablas principales.</t>
  </si>
  <si>
    <t>Los datos históricos en `tab_ordenes` mayores a 1 año deben comprimirse automáticamente.</t>
  </si>
  <si>
    <t>`des_cms_content` en `tab_cms_content` debe soportar documentos JSON de hasta 50MB.</t>
  </si>
  <si>
    <t>Los logs de auditoría deben tener espacio reservado equivalente al 10% del tamaño total de datos.</t>
  </si>
  <si>
    <t>La página de catálogo con productos de `tab_productos` debe cargar en menos de 2 segundos.</t>
  </si>
  <si>
    <t>La búsqueda en `tab_productos` debe ofrecer sugerencias en menos de 100ms.</t>
  </si>
  <si>
    <t>Las modificaciones en `tab_carrito_productos` deben reflejarse instantáneamente (&lt; 200ms).</t>
  </si>
  <si>
    <t>La verificación de `num_stock` en `tab_productos` debe ser en tiempo real durante el checkout.</t>
  </si>
  <si>
    <t>El historial de `tab_ordenes` por usuario debe cargar en menos de 1 segundo.</t>
  </si>
  <si>
    <t>La validación y aplicación de descuentos de `tab_descuentos` debe ser instantánea.</t>
  </si>
  <si>
    <t>La consulta de puntos en `tab_puntos_usuario` debe mostrar saldo actualizado &lt; 100ms.</t>
  </si>
  <si>
    <t>Los filtros por categoría/línea/sublínea en `tab_productos` deben aplicarse en &lt; 500ms.</t>
  </si>
  <si>
    <t>Agregar/quitar productos de `tab_favoritos` debe ser instantáneo (&lt; 100ms).</t>
  </si>
  <si>
    <t>La paginación en `tab_productos` debe mantener performance constante independiente de la página.</t>
  </si>
  <si>
    <t>Las consultas API a `tab_productos` deben responder en menos de 500ms.</t>
  </si>
  <si>
    <t>Las actualizaciones de `tab_productos` desde sistemas externos deben procesarse en lotes &lt; 1 minuto.</t>
  </si>
  <si>
    <t>Los datos de `tab_ordenes_compra_proveedor` deben sincronizarse con ERP cada 15 minutos.</t>
  </si>
  <si>
    <t>Los cambios de estado en `tab_ordenes` deben disparar webhooks en &lt; 5 segundos.</t>
  </si>
  <si>
    <t>La exportación de datos de `tab_usuarios` debe completarse en &lt; 10 minutos para 100K registros.</t>
  </si>
  <si>
    <t>La importación masiva a `tab_productos` debe procesar 10K productos en &lt; 5 minutos.</t>
  </si>
  <si>
    <t>Los datos exportados de `tab_ordenes` deben estar en formatos estándar (CSV, JSON, XML).</t>
  </si>
  <si>
    <t>Los cambios en estructura de `tab_productos` deben mantener compatibilidad con versiones anteriores de API.</t>
  </si>
  <si>
    <t>Las integraciones con `tab_productos` deben continuar funcionando si servicios externos fallan.</t>
  </si>
  <si>
    <t>Las consultas API a `tab_usuarios` deben estar limitadas a 1000 requests/minuto por cliente.</t>
  </si>
  <si>
    <t>Los datos en `tab_usuarios` deben retenerse según regulaciones locales (mínimo 5 años).</t>
  </si>
  <si>
    <t>Los datos personales en `tab_usuarios` deben poder eliminarse completamente bajo solicitud.</t>
  </si>
  <si>
    <t>Todas las transacciones en `tab_ordenes` deben ser auditables por autoridades financieras.</t>
  </si>
  <si>
    <t>Los datos sensibles en `tab_usuarios` deben estar encriptados en reposo.</t>
  </si>
  <si>
    <t>Todos los accesos a `tab_usuarios` deben quedar registrados por 7 años.</t>
  </si>
  <si>
    <t>El procesamiento de datos en `tab_usuarios` debe tener consentimiento explícito registrado.</t>
  </si>
  <si>
    <t>Los usuarios deben poder exportar sus datos de `tab_usuarios` en formato legible.</t>
  </si>
  <si>
    <t>Solo los datos necesarios deben almacenarse en `tab_usuarios`.</t>
  </si>
  <si>
    <t>Las brechas de seguridad en `tab_usuarios` deben notificarse en &lt; 72 horas.</t>
  </si>
  <si>
    <t>Los datos de `tab_usuarios` deben estar segregados por región si aplica.</t>
  </si>
  <si>
    <t>Los valores en `tab_config_puntos_empresa` deben ser modificables sin downtime.</t>
  </si>
  <si>
    <t>Los descuentos en `tab_descuentos` deben ser configurables por administradores.</t>
  </si>
  <si>
    <t>Los límites de `num_stock` en `tab_productos` deben ser configurables por categoría.</t>
  </si>
  <si>
    <t>Los permisos en `tab_roles_menu` deben ser modificables dinámicamente.</t>
  </si>
  <si>
    <t>Los niveles de alerta de `num_stock` en `tab_productos` deben ser configurables.</t>
  </si>
  <si>
    <t>El tiempo de vida de `tab_carritos` debe ser configurable por tipo de usuario.</t>
  </si>
  <si>
    <t>Los parámetros de búsqueda en `tab_productos` deben ser ajustables.</t>
  </si>
  <si>
    <t>Los períodos de `tab_resumen_ventas_producto` deben ser configurables.</t>
  </si>
  <si>
    <t>Los límites máximos en `tab_ordenes` deben ser configurables por usuario.</t>
  </si>
  <si>
    <t>El contenido en `tab_cms_content` debe ser versionable y configurable.</t>
  </si>
  <si>
    <t>Los datos de `tab_usuarios` deben poder migrarse desde/hacia otros sistemas sin pérdida.</t>
  </si>
  <si>
    <t>El catálogo completo de `tab_productos` debe exportarse en formatos estándar.</t>
  </si>
  <si>
    <t>REQUISITOS FUNCIONALES SYNKRO</t>
  </si>
  <si>
    <t>El sistema debe mostrar pantallazos del producto en funcionamiento</t>
  </si>
  <si>
    <t>El sistema debe mostar los diferentes planes que que brrinda synkro (Basic, Pro, Enterprise)</t>
  </si>
  <si>
    <t xml:space="preserve">El sistema debe permitir la compra de synkro en base al plan elegido </t>
  </si>
  <si>
    <t xml:space="preserve">El sistema debe permitir una pasarela de pagos </t>
  </si>
  <si>
    <t>REQUISITOS NO FUNCIONALES SYNKRO</t>
  </si>
  <si>
    <t>La página principal debe cargar completamente en menos de 3 segundos</t>
  </si>
  <si>
    <t>El slider/banner debe ser responsive y adaptarse a móviles, tablets y desktop</t>
  </si>
  <si>
    <t>Las imágenes de productos deben optimizarse automáticamente (WebP, compresión)</t>
  </si>
  <si>
    <t>La interfaz debe mantener contraste mínimo 4.5:1 para accesibilidad WCAG 2.1</t>
  </si>
  <si>
    <t>La galería de imágenes debe soportar zoom fluido sin lag perceptible</t>
  </si>
  <si>
    <t xml:space="preserve">
El formulario de checkout debe validarse en tiempo real con feedback visual</t>
  </si>
  <si>
    <t>La página debe ser compatible con Chrome, Firefox, Safari, Edge (últimas 2 versiones)</t>
  </si>
  <si>
    <t>El cambio entre modo claro/oscuro debe ser instantáneo sin parpadeos</t>
  </si>
  <si>
    <t>Los botones deben tener estados hover, active y disabled claramente diferenciados</t>
  </si>
  <si>
    <t>La navegación debe ser accesible con teclado (Tab, Enter, Escape)</t>
  </si>
  <si>
    <t xml:space="preserve">
Las notificaciones toast deben aparecer por máximo 5 segundos</t>
  </si>
  <si>
    <t xml:space="preserve">
La página debe implementar lazy loading para mejorar velocidad inicial</t>
  </si>
  <si>
    <t>Los formularios deben funcionar correctamente en conexiones lentas (3G)</t>
  </si>
  <si>
    <t xml:space="preserve">
El sistema debe mantener 60 FPS en animaciones y transiciones</t>
  </si>
  <si>
    <t>La tabla de órdenes debe ser responsive con scroll horizontal en móviles</t>
  </si>
  <si>
    <t>Los elementos interactivos deben tener área mínima de 44px para touch</t>
  </si>
  <si>
    <t>Observaciones</t>
  </si>
  <si>
    <t>REQUERIMIENTOS FUNCIONALES DEL HOME</t>
  </si>
  <si>
    <t>El sistema debe mostrar slider principal con navegación automática</t>
  </si>
  <si>
    <t>El sistema debe mostrar sección "Categories" con 3 categorías principales</t>
  </si>
  <si>
    <t>El botón "Shop All" debe redirigir a página de tienda completa</t>
  </si>
  <si>
    <t>Los productos deben mostrar imagen, nombre y precio</t>
  </si>
  <si>
    <t>Las categorías deben ser clickeables y redirigir a shop filtrado</t>
  </si>
  <si>
    <t>El slider debe rotar cada 5 segundos automáticamente</t>
  </si>
  <si>
    <t>El sistema debe mostrar enlaces legales en footer</t>
  </si>
  <si>
    <t>El sistema debe incluir formulario de newsletter en footer</t>
  </si>
  <si>
    <t>El sistema debe mostrar slider principal con navegación automática cada 5 segundos</t>
  </si>
  <si>
    <t>El sistema debe mostrar sección "Categorias" con 3 categorías principales clickeables</t>
  </si>
  <si>
    <t>El sistema debe mostrar sección "Nuestros Ultimos Productos" con productos recientes</t>
  </si>
  <si>
    <t>El sistema debe mostrar sección "Nuestros Productos" con productos destacados</t>
  </si>
  <si>
    <t>El sistema debe incluir una sidebar con filtros por categoría en página Shop</t>
  </si>
  <si>
    <t>El sistema debe permitir filtrar productos por rango de precios</t>
  </si>
  <si>
    <t>El sistema debe mostrar botón "Cargar mas Productos" para paginación</t>
  </si>
  <si>
    <t>El sistema debe incluir barra de búsqueda funcional en header</t>
  </si>
  <si>
    <t>El sistema debe mostrar galería de imágenes con zoom en detalle de producto</t>
  </si>
  <si>
    <t xml:space="preserve">El sistema debe incluir selector de cantidad con botones +/- </t>
  </si>
  <si>
    <t>El sistema debe mostrar botón "Agregar al Carrito" que agregue productos al carrito</t>
  </si>
  <si>
    <t>El sistema debe incluir botón de favoritos (corazón) funcional</t>
  </si>
  <si>
    <t>El sistema debe mostrar productos en carrito con imagen, nombre y precio</t>
  </si>
  <si>
    <t>El sistema debe calcular automáticamente subtotales y total en carrito</t>
  </si>
  <si>
    <t>El sistema debe incluir formulario de información de envío en carrito</t>
  </si>
  <si>
    <t>El sistema debe mostrar formulario de checkout con validación de campos</t>
  </si>
  <si>
    <t>El sistema debe mostrar tabla de órdenes con columnas Order, Date, Status, Total, Actions</t>
  </si>
  <si>
    <t>El sistema debe permitir filtrar órdenes por estado (Pending, Processing, Shipped, Delivered)</t>
  </si>
  <si>
    <t>El sistema debe mostrar grid de productos favoritos con opción de remover</t>
  </si>
  <si>
    <t>El sistema debe incluir formulario de newsletter funcional en footer de todas las páginas</t>
  </si>
  <si>
    <t>La página debe mostrar una landing de la(s) empresa(s)</t>
  </si>
  <si>
    <t>El home debe permitir que el admin personalice información de la landing (futuro)</t>
  </si>
  <si>
    <t>REQUERIMIENTOS NO FUNCIONALES DEL HOME</t>
  </si>
  <si>
    <t>La página debe cargar en menos de 3 segundos</t>
  </si>
  <si>
    <t>El slider debe ser responsive en móviles</t>
  </si>
  <si>
    <t>Las imágenes deben optimizarse automáticamente</t>
  </si>
  <si>
    <t>La página debe ser accesible con navegación por teclado</t>
  </si>
  <si>
    <t>El contenido debe cargar progresivamente (lazy loading)</t>
  </si>
  <si>
    <t>El grid de productos debe ser responsive (3 columnas para desktop, 2 para tablet, 1 para móvil)</t>
  </si>
  <si>
    <t>Los filtros de productos deben responder en menos de 500ms</t>
  </si>
  <si>
    <t>El dashboard admin debe cargar gráficos en menos de 1 segundo</t>
  </si>
  <si>
    <t>REQUERIMIENTOS FUNCIONALES SHOP</t>
  </si>
  <si>
    <t>El sistema debe mostrar grid de productos con imagen,nombre, precio</t>
  </si>
  <si>
    <t>El sistema debe incluir sidebar con filtros por categoría</t>
  </si>
  <si>
    <t>El sistema debe permitir filtrar por rango de precios</t>
  </si>
  <si>
    <t>El sistema debe incluir barra de búsqueda en header</t>
  </si>
  <si>
    <t>El sistema debe mostrar botón "Cargar más productos" para paginación</t>
  </si>
  <si>
    <t>Los filtros deben aplicarse en tiempo real sin recargar página</t>
  </si>
  <si>
    <t>El sistema debe mostrar contador de productos encontrados</t>
  </si>
  <si>
    <t>Los productos deben ser clickeables para ver detalles</t>
  </si>
  <si>
    <t>El sistema debe mantener filtros activos en navegación</t>
  </si>
  <si>
    <t>REQUERIMIENTOS NO FUNCIONALES SHOP</t>
  </si>
  <si>
    <t>La página debe cargar productos en menos de 2 segundos</t>
  </si>
  <si>
    <t>Los filtros deben responder en menos de 500ms</t>
  </si>
  <si>
    <t>El grid debe ser responsive (3 columnas desktop, 2 tablet, 1 móvil)</t>
  </si>
  <si>
    <t>La búsqueda debe soportar autocompletado</t>
  </si>
  <si>
    <t>La paginación debe cargar máximo 20 productos por página</t>
  </si>
  <si>
    <t>REQUERIMIENTOS FUNCIONALES PRODUCT</t>
  </si>
  <si>
    <t>El sistema debe mostrar galería de imágenes del producto</t>
  </si>
  <si>
    <t>El sistema debe mostrar nombre del producto como título principal</t>
  </si>
  <si>
    <t>El sistema debe mostrar precio del producto destacado</t>
  </si>
  <si>
    <t>El sistema debe incluir descripción detallada del producto</t>
  </si>
  <si>
    <t>El sistema debe mostrar selector de cantidad con botones +/-</t>
  </si>
  <si>
    <t>El sistema debe incluir botón "Agregar al carrito" principal</t>
  </si>
  <si>
    <t>El sistema debe incluir botón de favoritos (corazón)</t>
  </si>
  <si>
    <t>El sistema debe mostrar formulario newsletter en footer</t>
  </si>
  <si>
    <t>El sistema debe validar stock disponible antes de agregar al carrito</t>
  </si>
  <si>
    <t>Las imágenes deben permitir zoom al hacer hover F</t>
  </si>
  <si>
    <t>REQUERIMIENTOS NO FUNCIONALES PRODUCT</t>
  </si>
  <si>
    <t>La galería debe cargar imágenes en alta resolución en menos de 1 segundo</t>
  </si>
  <si>
    <t>El botón "Agregar al Carrito" debe dar feedback visual inmediato</t>
  </si>
  <si>
    <t>La página debe ser responsive manteniendo usabilidad</t>
  </si>
  <si>
    <t>Las imágenes deben optimizarse según dispositivo</t>
  </si>
  <si>
    <t>El selector de cantidad debe validar límites en tiempo real</t>
  </si>
  <si>
    <t>REQUERIMIENTOS FUNCIONALES CARRITO</t>
  </si>
  <si>
    <t>El sistema debe mostrar título "Tu carrito" en header</t>
  </si>
  <si>
    <t>El sistema debe mostrar productos agregados con imagen y detalles</t>
  </si>
  <si>
    <t>El sistema debe mostrar precio individual y subtotal por producto</t>
  </si>
  <si>
    <t>El sistema debe incluir selector de cantidad por producto</t>
  </si>
  <si>
    <t>El sistema debe mostrar "Resumen del pedido" con totales</t>
  </si>
  <si>
    <t>El sistema debe incluir campos de información de envío</t>
  </si>
  <si>
    <t>El sistema debe permitir eliminar productos del carrito</t>
  </si>
  <si>
    <t>El sistema debe calcular totales automáticamente al cambiar cantidades</t>
  </si>
  <si>
    <t>El sistema debe validar stock antes de actualizar cantidades</t>
  </si>
  <si>
    <t>El carrito debe mantener persistencia por 30 días para usuarios no registrados</t>
  </si>
  <si>
    <t>REQUERIMIENTOS NO FUNCIONALES CARRITO</t>
  </si>
  <si>
    <t>Los cálculos deben actualizarse en tiempo real (menos de 200ms)</t>
  </si>
  <si>
    <t>El carrito debe persistir por 30 días para usuarios no registrados</t>
  </si>
  <si>
    <t>El carrito debe sincronizarse entre dispositivos para usuarios logueados</t>
  </si>
  <si>
    <t>La página debe ser responsive manteniendo funcionalidad completa</t>
  </si>
  <si>
    <t>Los campos de envío deben validarse en tiempo real</t>
  </si>
  <si>
    <t>REQUERIMIENTOS FUNCIONALES CHECKOUT</t>
  </si>
  <si>
    <t>El sistema debe mostrar título "Checkout" en header</t>
  </si>
  <si>
    <t>El sistema debe mostrar resumen de productos en sidebar</t>
  </si>
  <si>
    <t>El sistema debe incluir formulario de información personal</t>
  </si>
  <si>
    <t>El sistema debe incluir sección de información de pago</t>
  </si>
  <si>
    <t>El sistema debe mostrar total de la orden destacado</t>
  </si>
  <si>
    <t>El sistema debe incluir botón "Realizar pedido" principal</t>
  </si>
  <si>
    <t>El sistema debe validar todos los campos antes de procesar</t>
  </si>
  <si>
    <t>El sistema debe integrar pasarela de pago segura</t>
  </si>
  <si>
    <t>El sistema debe generar confirmación de orden exitosa</t>
  </si>
  <si>
    <t>REQUERIMIENTOS NO FUNCIONALES CHECKOUT</t>
  </si>
  <si>
    <t>El procesamiento de pago debe completarse en menos de 10 segundos</t>
  </si>
  <si>
    <t>Los datos de pago deben encriptarse con estándares PCI DSS</t>
  </si>
  <si>
    <t>El formulario debe ser accesible con navegación por teclado</t>
  </si>
  <si>
    <t>La validación debe ser en tiempo real con feedback visual</t>
  </si>
  <si>
    <t>El checkout debe funcionar en modo responsive</t>
  </si>
  <si>
    <t>REQUERIMIENTOS FUNCIONALES ORDENES</t>
  </si>
  <si>
    <t>El sistema debe mostrar título "Mis Ordenes" en header</t>
  </si>
  <si>
    <t>El sistema debe mostrar columnas: Orden, Fecha, Status, Total, Acciones</t>
  </si>
  <si>
    <t>El sistema debe mostrar tabla con historial de órdenes</t>
  </si>
  <si>
    <t>El sistema debe permitir filtrar órdenes por estado</t>
  </si>
  <si>
    <t>El sistema debe incluir acciones por orden (Ver, Cancelar, Reorder)</t>
  </si>
  <si>
    <t>El sistema debe permitir ver detalle completo de cada orden</t>
  </si>
  <si>
    <t>El sistema debe mostrar tracking de envío cuando esté disponible</t>
  </si>
  <si>
    <t>El sistema debe permitir descargar factura en PDF</t>
  </si>
  <si>
    <t>La tabla debe cargar órdenes en menos de 2 segundos</t>
  </si>
  <si>
    <t>La paginación debe manejar hasta 1000 órdenes por usuario</t>
  </si>
  <si>
    <t>Los filtros deben aplicarse instantáneamente</t>
  </si>
  <si>
    <t>La tabla debe ser responsive con scroll horizontal en móviles</t>
  </si>
  <si>
    <t>Las acciones deben tener confirmación para evitar errores</t>
  </si>
  <si>
    <t>REQUERIMIENTOS FUNCIONALES DE LA SECRETARIA GESTORA  (FUNCIONARIO)</t>
  </si>
  <si>
    <t>REQUERIMIENTOS FUNCIONALES FAVORITOS</t>
  </si>
  <si>
    <t xml:space="preserve">El sistema debe mostrar título "Favoritos" en header </t>
  </si>
  <si>
    <t xml:space="preserve">El sistema debe mostrar grid de productos favoritos </t>
  </si>
  <si>
    <t>El sistema debe mostrar productos con imagen, nombre, precio</t>
  </si>
  <si>
    <t>El sistema debe incluir botón para remover de favoritos</t>
  </si>
  <si>
    <t>El sistema debe incluir botón "Agregar al carrito" por producto</t>
  </si>
  <si>
    <t>El sistema debe mostrar mensaje cuando lista esté vacía</t>
  </si>
  <si>
    <t>El sistema debe sincronizar favoritos entre dispositivos</t>
  </si>
  <si>
    <t>El sistema debe notificar cambios de precio en favoritos</t>
  </si>
  <si>
    <t>El sistema debe mostrar disponibilidad de stock</t>
  </si>
  <si>
    <t>REQUERIMIENTOS NO FUNCIONALES FAVORITOS</t>
  </si>
  <si>
    <t>Los favoritos deben cargarse en menos de 1 segundo_x000D_</t>
  </si>
  <si>
    <t>La sincronización debe ser en tiempo real</t>
  </si>
  <si>
    <t>El grid debe ser responsive (3-2-1 columnas)</t>
  </si>
  <si>
    <t>Las acciones deben tener feedback visual inmediato</t>
  </si>
  <si>
    <t>La lista debe soportar hasta 500 productos favoritos</t>
  </si>
  <si>
    <t>REQUERIMIENTOS FUNCIONALES DASHBOARD ADMIN</t>
  </si>
  <si>
    <t>El sistema debe mostrar sidebar con navegación principal</t>
  </si>
  <si>
    <t>El sistema debe mostrar métricas principales en cards superiores</t>
  </si>
  <si>
    <t>El sistema debe incluir panel de notificaciones lateral</t>
  </si>
  <si>
    <t>El sistema debe incluir toggle para modo claro/oscuro</t>
  </si>
  <si>
    <t>El sistema debe mostrar datos en tiempo real</t>
  </si>
  <si>
    <t>Los gráficos deben ser interactivos con tooltips</t>
  </si>
  <si>
    <t>El sistema debe permitir filtrar datos por período</t>
  </si>
  <si>
    <t>El sistema debe mantener toda la funcionalidad en modo oscuro</t>
  </si>
  <si>
    <t>El sistema debe mantener contraste adecuado en textos</t>
  </si>
  <si>
    <t>Los gráficos deben adaptarse al tema oscuro</t>
  </si>
  <si>
    <t>El sistema debe guardar preferencia de tema por usuario</t>
  </si>
  <si>
    <t>El toggle de tema debe mostrar estado actual claramente</t>
  </si>
  <si>
    <t>Todos los elementos UI deben ser consistentes en modo oscuro</t>
  </si>
  <si>
    <t>El sistema debe permitir la elección de gráfica por  parte del administrador teniendo en cuenta el KPI</t>
  </si>
  <si>
    <t>Cada KPI debe corresponder a una grafica elegíble por el administrador</t>
  </si>
  <si>
    <t>El dashboard debe cargar en menos de 3 segundos</t>
  </si>
  <si>
    <t>Los gráficos deben renderizarse en menos de 1 segundo</t>
  </si>
  <si>
    <t>El dashboard debe ser responsive manteniendo funcionalidad</t>
  </si>
  <si>
    <t>Los datos deben actualizarse cada 30 segundos automáticamente</t>
  </si>
  <si>
    <t>El cambio de tema debe ser instantáneo</t>
  </si>
  <si>
    <t>El cambio de tema debe ser fluido sin parpadeos</t>
  </si>
  <si>
    <t>El modo oscuro debe cumplir estándares de accesibilidad</t>
  </si>
  <si>
    <t>Los colores deben mantener jerarquía visual apropiada</t>
  </si>
  <si>
    <t>El contraste debe ser mínimo 4.5:1 para textos</t>
  </si>
  <si>
    <t>La preferencia debe persistir entre sesiones</t>
  </si>
  <si>
    <t>el sistema deber permitir la importación de archivos excel (xlsx, xls, csv) al daschboard</t>
  </si>
  <si>
    <t>REQUIRIMIENTOS FUNCIONALES GESTIÓN PRODUCTOS</t>
  </si>
  <si>
    <t xml:space="preserve">El sistema debe permitir crear nuevos productos </t>
  </si>
  <si>
    <t>El sistema debe permitir editar productos existentes</t>
  </si>
  <si>
    <t>El sistema debe permitir eliminar productos</t>
  </si>
  <si>
    <t>El sistema debe permitir subir múltiples imágenes</t>
  </si>
  <si>
    <t>El sistema debe permitir asignar categorías, líneas, sublíneas</t>
  </si>
  <si>
    <t>El sistema debe permitir gestionar stock</t>
  </si>
  <si>
    <t>El sistema debe permitir configurar precios y descuentos</t>
  </si>
  <si>
    <t>El sistema debe permitir activar/desactivar productos</t>
  </si>
  <si>
    <t>El sistema debe validar campos obligatorios</t>
  </si>
  <si>
    <t>El sistema debe permitir importar productos via CSV</t>
  </si>
  <si>
    <t>REQUIRIMIENTOS NO FUNCIONALES GESTIÓN PRODUCTOS</t>
  </si>
  <si>
    <t>La carga de imágenes debe completarse en menos de 5 segundos</t>
  </si>
  <si>
    <t>El sistema debe soportar imágenes hasta 10MB</t>
  </si>
  <si>
    <t>El formulario debe validarse en tiempo real</t>
  </si>
  <si>
    <t>La importación CSV debe procesar hasta 1000 productos</t>
  </si>
  <si>
    <t>REQUIRIMIENTOS FUNCIONALES GESTIÓN CATEGORIAS</t>
  </si>
  <si>
    <t>El sistema debe permitir crear categorías principales</t>
  </si>
  <si>
    <t>El sistema debe permitir crear líneas dentro de categorías</t>
  </si>
  <si>
    <t>El sistema debe permitir crear sublíneas dentro de líneas</t>
  </si>
  <si>
    <t>El sistema debe permitir editar información de categorías</t>
  </si>
  <si>
    <t>El sistema debe permitir eliminar categorías vacías</t>
  </si>
  <si>
    <t>El sistema debe permitir asignar imágenes a categorías</t>
  </si>
  <si>
    <t>El sistema debe mostrar contador de productos por categoría</t>
  </si>
  <si>
    <t>El sistema debe permitir ordenar categorías por prioridad</t>
  </si>
  <si>
    <t>El sistema debe validar que no se eliminen categorías con productos</t>
  </si>
  <si>
    <t>El sistema debe permitir activar/desactivar categorías</t>
  </si>
  <si>
    <t>La estructura jerárquica debe cargarse en menos de 1 segundo</t>
  </si>
  <si>
    <t>El sistema debe soportar hasta 5 niveles de jerarquía</t>
  </si>
  <si>
    <t>Los cambios deben reflejarse inmediatamente en frontend</t>
  </si>
  <si>
    <t>La validación debe prevenir eliminación accidental</t>
  </si>
  <si>
    <t>El ordenamiento debe ser drag-and-drop intuitivo</t>
  </si>
  <si>
    <t>REQUIRIMIENTOS FUNCIONALES GESTIÓN USUARIOS</t>
  </si>
  <si>
    <t>El sistema debe permitir ver lista de todos los usuarios</t>
  </si>
  <si>
    <t>El sistema debe permitir buscar usuarios por email, nombre</t>
  </si>
  <si>
    <t>El sistema debe permitir ver perfil completo de usuarios</t>
  </si>
  <si>
    <t>El sistema debe permitir editar información de usuarios</t>
  </si>
  <si>
    <t>El sistema debe permitir activar/desactivar cuentas de usuario</t>
  </si>
  <si>
    <t>El sistema debe permitir asignar roles de administrador</t>
  </si>
  <si>
    <t>El sistema debe permitir ver historial de órdenes por usuario</t>
  </si>
  <si>
    <t>El sistema debe permitir resetear contraseñas de usuarios</t>
  </si>
  <si>
    <t>El sistema debe mostrar estadísticas de actividad por usuario</t>
  </si>
  <si>
    <t>El sistema debe permitir enviar emails masivos a usuarios</t>
  </si>
  <si>
    <t>El sistema debe permitir exportar lista de usuarios</t>
  </si>
  <si>
    <t>El sistema debe mostrar usuarios registrados por período</t>
  </si>
  <si>
    <t>El sistema debe permitir filtrar usuarios por estado, rol, fecha</t>
  </si>
  <si>
    <t>El sistema debe mostrar valor total de compras por usuario</t>
  </si>
  <si>
    <r>
      <rPr>
        <sz val="11"/>
        <color rgb="FF000000"/>
        <rFont val="Calibri"/>
        <scheme val="minor"/>
      </rPr>
      <t xml:space="preserve">El </t>
    </r>
    <r>
      <rPr>
        <sz val="14"/>
        <color rgb="FF000000"/>
        <rFont val="Calibri"/>
        <scheme val="minor"/>
      </rPr>
      <t>sistema debe permitir crear usuarios administradores</t>
    </r>
  </si>
  <si>
    <t>REQUIRIMIENTOS FUNCIONALES GESTIÓN DESCUENTOS</t>
  </si>
  <si>
    <t>El sistema debe permitir crear códigos de descuento</t>
  </si>
  <si>
    <t>El sistema debe configurar porcentaje o monto fijo</t>
  </si>
  <si>
    <t>El sistema debe configurar fechas de vigencia</t>
  </si>
  <si>
    <t>El sistema debe limitar uso por usuario</t>
  </si>
  <si>
    <t>El sistema debe configurar monto mínimo de compra</t>
  </si>
  <si>
    <t>El sistema debe aplicar descuentos a categorías específicas</t>
  </si>
  <si>
    <t>El sistema debe validar códigos en tiempo real</t>
  </si>
  <si>
    <t>El sistema debe mostrar estadísticas de uso</t>
  </si>
  <si>
    <t>El sistema debe permitir desactivar códigos</t>
  </si>
  <si>
    <t>El sistema debe generar reportes de efectividad</t>
  </si>
  <si>
    <t>REQUIRIMIENTOS NO FUNCIONALES GESTIÓN DESCUENTOS</t>
  </si>
  <si>
    <t>La validación de códigos debe ser instantánea</t>
  </si>
  <si>
    <t>El sistema debe soportar hasta 10,000 códigos activos</t>
  </si>
  <si>
    <t>Los reportes deben generarse en menos de 3 segundos</t>
  </si>
  <si>
    <t>Los descuentos deben aplicarse sin afectar rendimiento</t>
  </si>
  <si>
    <t>El sistema debe prevenir uso fraudulento de códigos</t>
  </si>
  <si>
    <t>REQUIRIMIENTOS FUNCIONALES AUTENTICACIÓN</t>
  </si>
  <si>
    <t>El sistema debe permitir registro con email y contraseña</t>
  </si>
  <si>
    <t>El sistema debe validar formato de email en tiempo real</t>
  </si>
  <si>
    <t>El sistema debe validar fortaleza de contraseña</t>
  </si>
  <si>
    <t>El sistema debe generar JWT token al iniciar sesión</t>
  </si>
  <si>
    <t>El sistema debe implementar middleware de autenticación</t>
  </si>
  <si>
    <t>El sistema debe permitir recuperación de contraseña</t>
  </si>
  <si>
    <t>El sistema debe proteger rutas de administrador</t>
  </si>
  <si>
    <t>El sistema debe cerrar sesión e invalidar tokens</t>
  </si>
  <si>
    <t>El sistema debe renovar tokens automáticamente</t>
  </si>
  <si>
    <t>El sistema debe enviar emails de verificación</t>
  </si>
  <si>
    <t>Los tokens JWT deben expirar en 24 horas</t>
  </si>
  <si>
    <t>Las contraseñas deben encriptarse con bcrypt</t>
  </si>
  <si>
    <t>El sistema debe implementar rate limiting en auth</t>
  </si>
  <si>
    <t>Los intentos fallidos deben bloquearse después de 5 intentos</t>
  </si>
  <si>
    <t>Todas las operaciones de auth deben loggearse</t>
  </si>
  <si>
    <t>REQUIRIMIENTOS FUNCIONALES PASARELA DE PAGO</t>
  </si>
  <si>
    <t>El sistema debe integrar con múltiples proveedores de pago</t>
  </si>
  <si>
    <t>El sistema debe soportar tarjetas de crédito y débito</t>
  </si>
  <si>
    <t>El sistema debe soportar PayPal como método de pago</t>
  </si>
  <si>
    <t>El sistema debe soportar transferencias bancarias</t>
  </si>
  <si>
    <t>El sistema debe validar información de tarjetas en tiempo real</t>
  </si>
  <si>
    <t>El sistema debe encriptar información sensible de pago</t>
  </si>
  <si>
    <t>El sistema debe manejar respuestas de autorización de pago</t>
  </si>
  <si>
    <t>El sistema debe procesar reembolsos automáticamente</t>
  </si>
  <si>
    <t>El sistema debe guardar métodos de pago para usuarios registrados</t>
  </si>
  <si>
    <t>El sistema debe implementar tokenización de tarjetas</t>
  </si>
  <si>
    <t>El sistema debe manejar pagos en múltiples monedas</t>
  </si>
  <si>
    <t>El sistema debe implementar verificación 3D Secure</t>
  </si>
  <si>
    <t>El sistema debe generar recibos de pago automáticamente</t>
  </si>
  <si>
    <t>El sistema debe notificar estado de pagos via webhooks</t>
  </si>
  <si>
    <t>El sistema debe manejar pagos fallidos con reintentos</t>
  </si>
  <si>
    <t>REQUIRIMIENTOS FUNCIONALES NOTIFICACIONES</t>
  </si>
  <si>
    <t>El sistema debe enviar email de confirmación de registro</t>
  </si>
  <si>
    <t>El sistema debe enviar email de confirmación de orden</t>
  </si>
  <si>
    <t>El sistema debe enviar notificaciones de cambio de estado de orden</t>
  </si>
  <si>
    <t>El sistema debe enviar email de recuperación de contraseña</t>
  </si>
  <si>
    <t>El sistema debe enviar notificaciones de productos en oferta</t>
  </si>
  <si>
    <t>El sistema debe enviar recordatorios de carrito abandonado</t>
  </si>
  <si>
    <t>El sistema debe enviar newsletter a suscriptores</t>
  </si>
  <si>
    <t>El sistema debe permitir personalizar plantillas de email</t>
  </si>
  <si>
    <t>El sistema debe implementar cola de emails para envío masivo</t>
  </si>
  <si>
    <t>El sistema debe permitir desuscripción de emails</t>
  </si>
  <si>
    <t>El sistema debe enviar SMS para órdenes importantes (futuro)</t>
  </si>
  <si>
    <t>El sistema debe enviar notificaciones push (futuro)</t>
  </si>
  <si>
    <t>El sistema debe registrar historial de notificaciones enviadas</t>
  </si>
  <si>
    <t>El sistema debe manejar errores de envío de emails</t>
  </si>
  <si>
    <t>El sistema debe implementar preferencias de notificación por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</si>
</sst>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scheme val="minor"/>
    </font>
    <font>
      <b/>
      <sz val="11"/>
      <color theme="1"/>
      <name val="Calibri"/>
      <family val="2"/>
      <scheme val="minor"/>
    </font>
    <font>
      <sz val="11"/>
      <color rgb="FF000000"/>
      <name val="Calibri"/>
      <family val="2"/>
      <scheme val="minor"/>
    </font>
    <font>
      <b/>
      <sz val="12"/>
      <color theme="0"/>
      <name val="Arial"/>
      <family val="2"/>
    </font>
    <font>
      <sz val="14"/>
      <color rgb="FF000000"/>
      <name val="Calibri"/>
      <family val="2"/>
      <scheme val="minor"/>
    </font>
    <font>
      <b/>
      <sz val="14"/>
      <color theme="1"/>
      <name val="Calibri"/>
      <family val="2"/>
      <scheme val="minor"/>
    </font>
    <font>
      <sz val="14"/>
      <color theme="1"/>
      <name val="Calibri"/>
      <family val="2"/>
      <scheme val="minor"/>
    </font>
    <font>
      <b/>
      <sz val="12"/>
      <name val="Arial"/>
      <family val="2"/>
    </font>
    <font>
      <b/>
      <sz val="12"/>
      <color theme="1"/>
      <name val="Calibri"/>
      <family val="2"/>
      <scheme val="minor"/>
    </font>
    <font>
      <sz val="12"/>
      <color theme="1"/>
      <name val="Calibri"/>
      <family val="2"/>
      <scheme val="minor"/>
    </font>
    <font>
      <b/>
      <sz val="12"/>
      <color theme="1"/>
      <name val="Arial"/>
      <family val="2"/>
    </font>
    <font>
      <sz val="12"/>
      <color rgb="FF000000"/>
      <name val="Calibri"/>
      <family val="2"/>
      <scheme val="minor"/>
    </font>
    <font>
      <sz val="14"/>
      <color theme="0"/>
      <name val="Calibri"/>
      <family val="2"/>
      <scheme val="minor"/>
    </font>
    <font>
      <sz val="11"/>
      <color theme="0"/>
      <name val="Calibri"/>
      <family val="2"/>
      <scheme val="minor"/>
    </font>
    <font>
      <b/>
      <sz val="14"/>
      <color theme="0"/>
      <name val="Calibri"/>
      <family val="2"/>
      <scheme val="minor"/>
    </font>
    <font>
      <b/>
      <sz val="12"/>
      <color theme="2" tint="-0.749992370372631"/>
      <name val="Arial"/>
      <family val="2"/>
    </font>
    <font>
      <sz val="12"/>
      <name val="Calibri"/>
      <family val="2"/>
      <scheme val="minor"/>
    </font>
    <font>
      <b/>
      <sz val="11"/>
      <color theme="0"/>
      <name val="Calibri"/>
      <family val="2"/>
      <scheme val="minor"/>
    </font>
    <font>
      <sz val="11"/>
      <color rgb="FF1F1F1F"/>
      <name val="Calibri"/>
      <scheme val="minor"/>
    </font>
    <font>
      <sz val="11"/>
      <color rgb="FF040C28"/>
      <name val="Calibri"/>
      <scheme val="minor"/>
    </font>
    <font>
      <sz val="11"/>
      <color rgb="FF474747"/>
      <name val="Calibri"/>
      <scheme val="minor"/>
    </font>
    <font>
      <sz val="11"/>
      <color rgb="FF000000"/>
      <name val="Calibri"/>
      <scheme val="minor"/>
    </font>
    <font>
      <sz val="14"/>
      <color rgb="FF000000"/>
      <name val="Calibri"/>
      <scheme val="minor"/>
    </font>
    <font>
      <sz val="14"/>
      <color theme="1"/>
      <name val="Calibri"/>
      <scheme val="minor"/>
    </font>
    <font>
      <b/>
      <sz val="12"/>
      <name val="Arial"/>
    </font>
    <font>
      <b/>
      <sz val="12"/>
      <color theme="2" tint="-0.749992370372631"/>
      <name val="Arial"/>
    </font>
    <font>
      <b/>
      <sz val="12"/>
      <color theme="1"/>
      <name val="Arial"/>
    </font>
    <font>
      <sz val="14"/>
      <color rgb="FF000000"/>
      <name val="Calibri"/>
      <charset val="1"/>
    </font>
    <font>
      <sz val="11"/>
      <color rgb="FF000000"/>
      <name val="Consolas"/>
      <charset val="1"/>
    </font>
    <font>
      <b/>
      <sz val="20"/>
      <color rgb="FF000000"/>
      <name val="Calibri"/>
      <scheme val="minor"/>
    </font>
    <font>
      <sz val="20"/>
      <color theme="1"/>
      <name val="Calibri"/>
      <family val="2"/>
      <scheme val="minor"/>
    </font>
    <font>
      <sz val="11"/>
      <color rgb="FF000000"/>
      <name val="Calibri"/>
      <charset val="1"/>
    </font>
  </fonts>
  <fills count="29">
    <fill>
      <patternFill patternType="none"/>
    </fill>
    <fill>
      <patternFill patternType="gray125"/>
    </fill>
    <fill>
      <patternFill patternType="solid">
        <fgColor rgb="FFA5A5A5"/>
      </patternFill>
    </fill>
    <fill>
      <patternFill patternType="solid">
        <fgColor rgb="FFFFC000"/>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0"/>
        <bgColor indexed="64"/>
      </patternFill>
    </fill>
    <fill>
      <patternFill patternType="solid">
        <fgColor rgb="FF7030A0"/>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FF0066"/>
        <bgColor indexed="64"/>
      </patternFill>
    </fill>
    <fill>
      <patternFill patternType="solid">
        <fgColor theme="7" tint="-0.499984740745262"/>
        <bgColor indexed="64"/>
      </patternFill>
    </fill>
    <fill>
      <patternFill patternType="solid">
        <fgColor theme="5"/>
        <bgColor indexed="64"/>
      </patternFill>
    </fill>
    <fill>
      <patternFill patternType="solid">
        <fgColor theme="1"/>
        <bgColor indexed="64"/>
      </patternFill>
    </fill>
    <fill>
      <patternFill patternType="solid">
        <fgColor rgb="FFC60606"/>
        <bgColor indexed="64"/>
      </patternFill>
    </fill>
    <fill>
      <patternFill patternType="solid">
        <fgColor rgb="FF800000"/>
        <bgColor indexed="64"/>
      </patternFill>
    </fill>
    <fill>
      <patternFill patternType="solid">
        <fgColor rgb="FFF5F5F5"/>
        <bgColor indexed="64"/>
      </patternFill>
    </fill>
    <fill>
      <patternFill patternType="solid">
        <fgColor rgb="FF993366"/>
        <bgColor indexed="64"/>
      </patternFill>
    </fill>
    <fill>
      <patternFill patternType="solid">
        <fgColor rgb="FFFFFF00"/>
        <bgColor indexed="64"/>
      </patternFill>
    </fill>
    <fill>
      <patternFill patternType="solid">
        <fgColor rgb="FFE38383"/>
        <bgColor indexed="64"/>
      </patternFill>
    </fill>
    <fill>
      <patternFill patternType="solid">
        <fgColor rgb="FFFF80B3"/>
        <bgColor indexed="64"/>
      </patternFill>
    </fill>
    <fill>
      <patternFill patternType="solid">
        <fgColor rgb="FF375623"/>
        <bgColor indexed="64"/>
      </patternFill>
    </fill>
    <fill>
      <patternFill patternType="solid">
        <fgColor rgb="FF806000"/>
        <bgColor indexed="64"/>
      </patternFill>
    </fill>
    <fill>
      <patternFill patternType="solid">
        <fgColor rgb="FFED7D31"/>
        <bgColor indexed="64"/>
      </patternFill>
    </fill>
    <fill>
      <patternFill patternType="solid">
        <fgColor rgb="FF9BC2E6"/>
        <bgColor indexed="64"/>
      </patternFill>
    </fill>
    <fill>
      <patternFill patternType="solid">
        <fgColor theme="0" tint="-0.14999847407452621"/>
        <bgColor indexed="64"/>
      </patternFill>
    </fill>
    <fill>
      <patternFill patternType="solid">
        <fgColor rgb="FF203764"/>
        <bgColor indexed="64"/>
      </patternFill>
    </fill>
    <fill>
      <patternFill patternType="solid">
        <fgColor theme="7"/>
        <bgColor indexed="64"/>
      </patternFill>
    </fill>
    <fill>
      <patternFill patternType="solid">
        <fgColor rgb="FFA6D1E3"/>
        <bgColor indexed="64"/>
      </patternFill>
    </fill>
  </fills>
  <borders count="150">
    <border>
      <left/>
      <right/>
      <top/>
      <bottom/>
      <diagonal/>
    </border>
    <border>
      <left style="double">
        <color rgb="FF3F3F3F"/>
      </left>
      <right style="double">
        <color rgb="FF3F3F3F"/>
      </right>
      <top style="double">
        <color rgb="FF3F3F3F"/>
      </top>
      <bottom style="double">
        <color rgb="FF3F3F3F"/>
      </bottom>
      <diagonal/>
    </border>
    <border>
      <left/>
      <right/>
      <top style="thin">
        <color rgb="FFFFC000"/>
      </top>
      <bottom/>
      <diagonal/>
    </border>
    <border>
      <left style="thin">
        <color rgb="FFFFC000"/>
      </left>
      <right/>
      <top/>
      <bottom/>
      <diagonal/>
    </border>
    <border>
      <left/>
      <right style="thin">
        <color theme="8" tint="-0.249977111117893"/>
      </right>
      <top/>
      <bottom/>
      <diagonal/>
    </border>
    <border>
      <left style="thin">
        <color theme="8" tint="-0.249977111117893"/>
      </left>
      <right style="thin">
        <color indexed="64"/>
      </right>
      <top style="thin">
        <color theme="8" tint="-0.249977111117893"/>
      </top>
      <bottom style="thin">
        <color theme="8" tint="-0.249977111117893"/>
      </bottom>
      <diagonal/>
    </border>
    <border>
      <left style="thin">
        <color theme="8" tint="-0.249977111117893"/>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style="thin">
        <color indexed="64"/>
      </right>
      <top style="thin">
        <color theme="8" tint="-0.249977111117893"/>
      </top>
      <bottom/>
      <diagonal/>
    </border>
    <border>
      <left style="thin">
        <color theme="8" tint="-0.249977111117893"/>
      </left>
      <right style="thin">
        <color theme="8" tint="-0.249977111117893"/>
      </right>
      <top style="thin">
        <color theme="8" tint="-0.249977111117893"/>
      </top>
      <bottom/>
      <diagonal/>
    </border>
    <border>
      <left style="thin">
        <color theme="8" tint="-0.249977111117893"/>
      </left>
      <right/>
      <top style="thin">
        <color theme="8" tint="-0.249977111117893"/>
      </top>
      <bottom/>
      <diagonal/>
    </border>
    <border>
      <left style="thin">
        <color indexed="64"/>
      </left>
      <right style="thin">
        <color theme="8" tint="-0.249977111117893"/>
      </right>
      <top style="thin">
        <color theme="8" tint="-0.249977111117893"/>
      </top>
      <bottom/>
      <diagonal/>
    </border>
    <border>
      <left style="thin">
        <color indexed="64"/>
      </left>
      <right style="thin">
        <color theme="8" tint="-0.249977111117893"/>
      </right>
      <top style="thin">
        <color theme="8" tint="-0.249977111117893"/>
      </top>
      <bottom style="thin">
        <color theme="8" tint="-0.249977111117893"/>
      </bottom>
      <diagonal/>
    </border>
    <border>
      <left style="thin">
        <color theme="8" tint="-0.249977111117893"/>
      </left>
      <right style="thin">
        <color indexed="64"/>
      </right>
      <top/>
      <bottom/>
      <diagonal/>
    </border>
    <border>
      <left style="thin">
        <color indexed="64"/>
      </left>
      <right style="thin">
        <color theme="8" tint="-0.249977111117893"/>
      </right>
      <top/>
      <bottom/>
      <diagonal/>
    </border>
    <border>
      <left/>
      <right style="thin">
        <color theme="8" tint="-0.249977111117893"/>
      </right>
      <top style="thin">
        <color theme="8" tint="-0.249977111117893"/>
      </top>
      <bottom/>
      <diagonal/>
    </border>
    <border>
      <left/>
      <right/>
      <top style="thin">
        <color theme="8" tint="-0.249977111117893"/>
      </top>
      <bottom/>
      <diagonal/>
    </border>
    <border>
      <left/>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4" tint="0.39997558519241921"/>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diagonal/>
    </border>
    <border>
      <left style="thin">
        <color theme="2" tint="-0.499984740745262"/>
      </left>
      <right style="thin">
        <color theme="2" tint="-0.499984740745262"/>
      </right>
      <top style="thin">
        <color theme="2" tint="-0.499984740745262"/>
      </top>
      <bottom/>
      <diagonal/>
    </border>
    <border>
      <left/>
      <right/>
      <top style="thin">
        <color theme="2" tint="-0.499984740745262"/>
      </top>
      <bottom style="thin">
        <color theme="2" tint="-0.499984740745262"/>
      </bottom>
      <diagonal/>
    </border>
    <border>
      <left style="thin">
        <color theme="2" tint="-0.499984740745262"/>
      </left>
      <right style="thin">
        <color indexed="64"/>
      </right>
      <top style="thin">
        <color theme="2" tint="-0.499984740745262"/>
      </top>
      <bottom style="thin">
        <color theme="2" tint="-0.499984740745262"/>
      </bottom>
      <diagonal/>
    </border>
    <border>
      <left style="thin">
        <color indexed="64"/>
      </left>
      <right style="thin">
        <color indexed="64"/>
      </right>
      <top style="thin">
        <color theme="2" tint="-0.499984740745262"/>
      </top>
      <bottom style="thin">
        <color theme="2" tint="-0.499984740745262"/>
      </bottom>
      <diagonal/>
    </border>
    <border>
      <left style="thin">
        <color indexed="64"/>
      </left>
      <right style="thin">
        <color theme="2" tint="-0.499984740745262"/>
      </right>
      <top style="thin">
        <color theme="2" tint="-0.499984740745262"/>
      </top>
      <bottom style="thin">
        <color theme="2" tint="-0.499984740745262"/>
      </bottom>
      <diagonal/>
    </border>
    <border>
      <left style="thin">
        <color theme="8" tint="-0.249977111117893"/>
      </left>
      <right/>
      <top/>
      <bottom/>
      <diagonal/>
    </border>
    <border>
      <left style="thin">
        <color theme="8" tint="-0.249977111117893"/>
      </left>
      <right style="thin">
        <color indexed="64"/>
      </right>
      <top style="thin">
        <color rgb="FF0070C0"/>
      </top>
      <bottom style="thin">
        <color theme="8" tint="-0.249977111117893"/>
      </bottom>
      <diagonal/>
    </border>
    <border>
      <left style="thin">
        <color indexed="64"/>
      </left>
      <right style="thin">
        <color theme="8" tint="-0.249977111117893"/>
      </right>
      <top style="thin">
        <color rgb="FF0070C0"/>
      </top>
      <bottom style="thin">
        <color theme="8" tint="-0.249977111117893"/>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right style="thin">
        <color theme="7" tint="0.79998168889431442"/>
      </right>
      <top/>
      <bottom/>
      <diagonal/>
    </border>
    <border>
      <left style="thin">
        <color theme="7" tint="0.79998168889431442"/>
      </left>
      <right style="thin">
        <color theme="7" tint="0.79998168889431442"/>
      </right>
      <top style="thin">
        <color rgb="FFFF9933"/>
      </top>
      <bottom/>
      <diagonal/>
    </border>
    <border>
      <left style="thin">
        <color theme="7" tint="0.79998168889431442"/>
      </left>
      <right style="thin">
        <color rgb="FFFF9933"/>
      </right>
      <top style="thin">
        <color rgb="FFFF9933"/>
      </top>
      <bottom/>
      <diagonal/>
    </border>
    <border>
      <left style="thin">
        <color theme="7" tint="0.79998168889431442"/>
      </left>
      <right style="thin">
        <color rgb="FFFF9933"/>
      </right>
      <top style="thin">
        <color rgb="FFFF9933"/>
      </top>
      <bottom style="thin">
        <color rgb="FFFF9933"/>
      </bottom>
      <diagonal/>
    </border>
    <border>
      <left style="thin">
        <color theme="7" tint="0.79998168889431442"/>
      </left>
      <right style="thin">
        <color theme="7" tint="0.79998168889431442"/>
      </right>
      <top style="thin">
        <color rgb="FFFF9933"/>
      </top>
      <bottom style="thin">
        <color rgb="FFFF9933"/>
      </bottom>
      <diagonal/>
    </border>
    <border>
      <left style="thin">
        <color rgb="FFFF9933"/>
      </left>
      <right style="thin">
        <color theme="7" tint="0.79998168889431442"/>
      </right>
      <top style="thin">
        <color rgb="FFFF9933"/>
      </top>
      <bottom/>
      <diagonal/>
    </border>
    <border>
      <left style="thin">
        <color theme="7" tint="0.79998168889431442"/>
      </left>
      <right/>
      <top/>
      <bottom/>
      <diagonal/>
    </border>
    <border>
      <left style="thin">
        <color theme="7" tint="0.79998168889431442"/>
      </left>
      <right style="thin">
        <color theme="7" tint="-0.499984740745262"/>
      </right>
      <top style="thin">
        <color theme="7" tint="-0.499984740745262"/>
      </top>
      <bottom/>
      <diagonal/>
    </border>
    <border>
      <left/>
      <right style="thin">
        <color theme="7" tint="-0.499984740745262"/>
      </right>
      <top style="thin">
        <color theme="7" tint="-0.499984740745262"/>
      </top>
      <bottom/>
      <diagonal/>
    </border>
    <border>
      <left/>
      <right style="thin">
        <color theme="7" tint="-0.499984740745262"/>
      </right>
      <top style="thin">
        <color theme="7" tint="-0.499984740745262"/>
      </top>
      <bottom style="thin">
        <color theme="7" tint="-0.499984740745262"/>
      </bottom>
      <diagonal/>
    </border>
    <border>
      <left/>
      <right style="thin">
        <color theme="7" tint="-0.499984740745262"/>
      </right>
      <top/>
      <bottom/>
      <diagonal/>
    </border>
    <border>
      <left style="thin">
        <color theme="7" tint="0.79998168889431442"/>
      </left>
      <right style="thin">
        <color theme="7" tint="-0.499984740745262"/>
      </right>
      <top/>
      <bottom/>
      <diagonal/>
    </border>
    <border>
      <left style="thin">
        <color theme="7" tint="0.79998168889431442"/>
      </left>
      <right style="thin">
        <color theme="7" tint="-0.499984740745262"/>
      </right>
      <top style="thin">
        <color theme="7" tint="-0.499984740745262"/>
      </top>
      <bottom style="thin">
        <color theme="7" tint="-0.499984740745262"/>
      </bottom>
      <diagonal/>
    </border>
    <border>
      <left style="thin">
        <color theme="7" tint="-0.499984740745262"/>
      </left>
      <right style="thin">
        <color theme="2" tint="-0.499984740745262"/>
      </right>
      <top/>
      <bottom/>
      <diagonal/>
    </border>
    <border>
      <left/>
      <right style="thin">
        <color theme="7" tint="0.79998168889431442"/>
      </right>
      <top style="thin">
        <color theme="7" tint="-0.499984740745262"/>
      </top>
      <bottom style="thin">
        <color theme="7" tint="-0.499984740745262"/>
      </bottom>
      <diagonal/>
    </border>
    <border>
      <left/>
      <right style="thin">
        <color theme="7" tint="0.79998168889431442"/>
      </right>
      <top style="thin">
        <color theme="7" tint="-0.499984740745262"/>
      </top>
      <bottom/>
      <diagonal/>
    </border>
    <border>
      <left/>
      <right/>
      <top style="thin">
        <color theme="7" tint="-0.499984740745262"/>
      </top>
      <bottom/>
      <diagonal/>
    </border>
    <border>
      <left/>
      <right/>
      <top style="thin">
        <color theme="7" tint="-0.499984740745262"/>
      </top>
      <bottom style="thin">
        <color theme="7" tint="-0.499984740745262"/>
      </bottom>
      <diagonal/>
    </border>
    <border>
      <left style="thin">
        <color theme="7" tint="-0.499984740745262"/>
      </left>
      <right style="thin">
        <color theme="7" tint="-0.499984740745262"/>
      </right>
      <top style="thin">
        <color theme="7" tint="-0.499984740745262"/>
      </top>
      <bottom/>
      <diagonal/>
    </border>
    <border>
      <left style="thin">
        <color theme="7" tint="-0.499984740745262"/>
      </left>
      <right style="thin">
        <color theme="7" tint="-0.499984740745262"/>
      </right>
      <top style="thin">
        <color theme="0"/>
      </top>
      <bottom/>
      <diagonal/>
    </border>
    <border>
      <left style="thin">
        <color theme="7" tint="-0.499984740745262"/>
      </left>
      <right/>
      <top style="thin">
        <color theme="7" tint="-0.499984740745262"/>
      </top>
      <bottom style="thin">
        <color theme="7" tint="-0.499984740745262"/>
      </bottom>
      <diagonal/>
    </border>
    <border>
      <left style="thin">
        <color theme="7" tint="0.79998168889431442"/>
      </left>
      <right style="thin">
        <color rgb="FF7030A0"/>
      </right>
      <top style="thin">
        <color rgb="FF7030A0"/>
      </top>
      <bottom style="thin">
        <color rgb="FF7030A0"/>
      </bottom>
      <diagonal/>
    </border>
    <border>
      <left/>
      <right style="thin">
        <color rgb="FF7030A0"/>
      </right>
      <top style="thin">
        <color rgb="FF7030A0"/>
      </top>
      <bottom style="thin">
        <color rgb="FF7030A0"/>
      </bottom>
      <diagonal/>
    </border>
    <border>
      <left/>
      <right/>
      <top style="thin">
        <color rgb="FF7030A0"/>
      </top>
      <bottom/>
      <diagonal/>
    </border>
    <border>
      <left style="thin">
        <color theme="7" tint="0.79998168889431442"/>
      </left>
      <right style="thin">
        <color rgb="FF7030A0"/>
      </right>
      <top/>
      <bottom/>
      <diagonal/>
    </border>
    <border>
      <left/>
      <right style="thin">
        <color rgb="FF7030A0"/>
      </right>
      <top/>
      <bottom/>
      <diagonal/>
    </border>
    <border>
      <left/>
      <right style="thin">
        <color theme="7" tint="0.79998168889431442"/>
      </right>
      <top/>
      <bottom style="thin">
        <color rgb="FF7030A0"/>
      </bottom>
      <diagonal/>
    </border>
    <border>
      <left style="thin">
        <color theme="7" tint="0.79998168889431442"/>
      </left>
      <right style="thin">
        <color rgb="FF7030A0"/>
      </right>
      <top/>
      <bottom style="thin">
        <color rgb="FF7030A0"/>
      </bottom>
      <diagonal/>
    </border>
    <border>
      <left/>
      <right/>
      <top style="thin">
        <color rgb="FF7030A0"/>
      </top>
      <bottom style="thin">
        <color rgb="FF7030A0"/>
      </bottom>
      <diagonal/>
    </border>
    <border>
      <left/>
      <right style="thin">
        <color theme="7" tint="0.79998168889431442"/>
      </right>
      <top style="thin">
        <color rgb="FF7030A0"/>
      </top>
      <bottom style="thin">
        <color rgb="FF7030A0"/>
      </bottom>
      <diagonal/>
    </border>
    <border>
      <left style="thin">
        <color rgb="FF7030A0"/>
      </left>
      <right style="thin">
        <color rgb="FF7030A0"/>
      </right>
      <top style="thin">
        <color rgb="FF7030A0"/>
      </top>
      <bottom/>
      <diagonal/>
    </border>
    <border>
      <left style="thin">
        <color rgb="FF7030A0"/>
      </left>
      <right style="thin">
        <color rgb="FF7030A0"/>
      </right>
      <top style="thin">
        <color theme="0"/>
      </top>
      <bottom/>
      <diagonal/>
    </border>
    <border>
      <left style="thin">
        <color rgb="FF7030A0"/>
      </left>
      <right style="thin">
        <color rgb="FF7030A0"/>
      </right>
      <top style="thin">
        <color theme="0"/>
      </top>
      <bottom style="thin">
        <color rgb="FF7030A0"/>
      </bottom>
      <diagonal/>
    </border>
    <border>
      <left style="thin">
        <color rgb="FF7030A0"/>
      </left>
      <right style="thin">
        <color theme="0"/>
      </right>
      <top style="thin">
        <color theme="0"/>
      </top>
      <bottom style="thin">
        <color theme="0"/>
      </bottom>
      <diagonal/>
    </border>
    <border>
      <left style="thin">
        <color theme="9" tint="0.39997558519241921"/>
      </left>
      <right style="thin">
        <color theme="9" tint="0.39997558519241921"/>
      </right>
      <top style="thin">
        <color theme="9" tint="0.39997558519241921"/>
      </top>
      <bottom/>
      <diagonal/>
    </border>
    <border>
      <left/>
      <right style="thin">
        <color theme="2" tint="-0.499984740745262"/>
      </right>
      <top/>
      <bottom/>
      <diagonal/>
    </border>
    <border>
      <left/>
      <right style="thin">
        <color theme="9" tint="-0.499984740745262"/>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9" tint="-0.499984740745262"/>
      </left>
      <right/>
      <top style="thin">
        <color theme="9" tint="-0.499984740745262"/>
      </top>
      <bottom/>
      <diagonal/>
    </border>
    <border>
      <left style="thin">
        <color rgb="FFFF9933"/>
      </left>
      <right style="thin">
        <color theme="7" tint="0.79998168889431442"/>
      </right>
      <top style="thin">
        <color theme="0"/>
      </top>
      <bottom style="thin">
        <color rgb="FFFF9933"/>
      </bottom>
      <diagonal/>
    </border>
    <border>
      <left style="thin">
        <color rgb="FFFF9933"/>
      </left>
      <right style="thin">
        <color theme="7" tint="0.79998168889431442"/>
      </right>
      <top style="thin">
        <color theme="0"/>
      </top>
      <bottom/>
      <diagonal/>
    </border>
    <border>
      <left/>
      <right style="thin">
        <color theme="7" tint="0.79998168889431442"/>
      </right>
      <top style="thin">
        <color rgb="FFFF9933"/>
      </top>
      <bottom style="thin">
        <color rgb="FFFF9933"/>
      </bottom>
      <diagonal/>
    </border>
    <border>
      <left style="thin">
        <color rgb="FFFF9933"/>
      </left>
      <right style="thin">
        <color theme="0"/>
      </right>
      <top style="thin">
        <color theme="0"/>
      </top>
      <bottom/>
      <diagonal/>
    </border>
    <border>
      <left/>
      <right/>
      <top style="thin">
        <color rgb="FF800000"/>
      </top>
      <bottom/>
      <diagonal/>
    </border>
    <border>
      <left/>
      <right style="thin">
        <color rgb="FF800000"/>
      </right>
      <top/>
      <bottom/>
      <diagonal/>
    </border>
    <border>
      <left style="thin">
        <color theme="7" tint="0.79998168889431442"/>
      </left>
      <right style="thin">
        <color rgb="FF800000"/>
      </right>
      <top style="thin">
        <color rgb="FF800000"/>
      </top>
      <bottom/>
      <diagonal/>
    </border>
    <border>
      <left/>
      <right style="thin">
        <color theme="7" tint="0.79998168889431442"/>
      </right>
      <top style="thin">
        <color rgb="FF800000"/>
      </top>
      <bottom/>
      <diagonal/>
    </border>
    <border>
      <left style="thin">
        <color rgb="FF800000"/>
      </left>
      <right style="thin">
        <color rgb="FF800000"/>
      </right>
      <top style="thin">
        <color rgb="FF800000"/>
      </top>
      <bottom/>
      <diagonal/>
    </border>
    <border>
      <left style="thin">
        <color rgb="FF800000"/>
      </left>
      <right style="thin">
        <color rgb="FF800000"/>
      </right>
      <top style="thin">
        <color theme="0"/>
      </top>
      <bottom/>
      <diagonal/>
    </border>
    <border>
      <left style="thin">
        <color theme="7" tint="0.79998168889431442"/>
      </left>
      <right style="thin">
        <color rgb="FF800000"/>
      </right>
      <top style="thin">
        <color rgb="FF800000"/>
      </top>
      <bottom style="thin">
        <color rgb="FF800000"/>
      </bottom>
      <diagonal/>
    </border>
    <border>
      <left style="thin">
        <color rgb="FF800000"/>
      </left>
      <right style="thin">
        <color theme="7" tint="0.79998168889431442"/>
      </right>
      <top style="thin">
        <color rgb="FF800000"/>
      </top>
      <bottom style="thin">
        <color rgb="FF800000"/>
      </bottom>
      <diagonal/>
    </border>
    <border>
      <left style="thin">
        <color rgb="FF800000"/>
      </left>
      <right style="thin">
        <color rgb="FF800000"/>
      </right>
      <top style="thin">
        <color theme="0"/>
      </top>
      <bottom style="thin">
        <color rgb="FF800000"/>
      </bottom>
      <diagonal/>
    </border>
    <border>
      <left style="thin">
        <color rgb="FF800000"/>
      </left>
      <right/>
      <top style="thin">
        <color theme="0"/>
      </top>
      <bottom/>
      <diagonal/>
    </border>
    <border>
      <left/>
      <right style="thin">
        <color rgb="FFC60606"/>
      </right>
      <top/>
      <bottom/>
      <diagonal/>
    </border>
    <border>
      <left style="thin">
        <color theme="9" tint="-0.499984740745262"/>
      </left>
      <right/>
      <top style="thin">
        <color theme="0"/>
      </top>
      <bottom/>
      <diagonal/>
    </border>
    <border>
      <left style="thin">
        <color theme="7" tint="-0.499984740745262"/>
      </left>
      <right/>
      <top style="thin">
        <color theme="7" tint="-0.49998474074526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theme="9" tint="-0.499984740745262"/>
      </left>
      <right/>
      <top style="thin">
        <color theme="0"/>
      </top>
      <bottom style="thin">
        <color theme="9" tint="-0.499984740745262"/>
      </bottom>
      <diagonal/>
    </border>
    <border>
      <left/>
      <right/>
      <top style="thin">
        <color theme="2" tint="-0.499984740745262"/>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FF0066"/>
      </left>
      <right/>
      <top style="thin">
        <color rgb="FFFF0066"/>
      </top>
      <bottom/>
      <diagonal/>
    </border>
    <border>
      <left style="thin">
        <color rgb="FFFF0066"/>
      </left>
      <right/>
      <top style="thin">
        <color theme="0"/>
      </top>
      <bottom style="thin">
        <color theme="0"/>
      </bottom>
      <diagonal/>
    </border>
    <border>
      <left style="thin">
        <color rgb="FFFF0066"/>
      </left>
      <right/>
      <top style="thin">
        <color theme="0"/>
      </top>
      <bottom style="thin">
        <color rgb="FFFF0066"/>
      </bottom>
      <diagonal/>
    </border>
    <border>
      <left style="thin">
        <color rgb="FF993366"/>
      </left>
      <right/>
      <top style="thin">
        <color rgb="FF993366"/>
      </top>
      <bottom/>
      <diagonal/>
    </border>
    <border>
      <left/>
      <right style="thin">
        <color rgb="FF993366"/>
      </right>
      <top style="thin">
        <color rgb="FF993366"/>
      </top>
      <bottom/>
      <diagonal/>
    </border>
    <border>
      <left style="thin">
        <color rgb="FF993366"/>
      </left>
      <right style="thin">
        <color rgb="FF000000"/>
      </right>
      <top style="thin">
        <color rgb="FF993366"/>
      </top>
      <bottom style="thin">
        <color rgb="FF993366"/>
      </bottom>
      <diagonal/>
    </border>
    <border>
      <left style="thin">
        <color rgb="FF000000"/>
      </left>
      <right style="thin">
        <color rgb="FF993366"/>
      </right>
      <top style="thin">
        <color rgb="FF993366"/>
      </top>
      <bottom style="thin">
        <color rgb="FF993366"/>
      </bottom>
      <diagonal/>
    </border>
    <border>
      <left style="thin">
        <color rgb="FF993366"/>
      </left>
      <right style="thin">
        <color rgb="FF000000"/>
      </right>
      <top/>
      <bottom style="thin">
        <color rgb="FF993366"/>
      </bottom>
      <diagonal/>
    </border>
    <border>
      <left style="thin">
        <color rgb="FF000000"/>
      </left>
      <right style="thin">
        <color rgb="FF993366"/>
      </right>
      <top/>
      <bottom style="thin">
        <color rgb="FF993366"/>
      </bottom>
      <diagonal/>
    </border>
    <border>
      <left style="thin">
        <color rgb="FF993366"/>
      </left>
      <right style="thin">
        <color rgb="FF000000"/>
      </right>
      <top/>
      <bottom/>
      <diagonal/>
    </border>
    <border>
      <left style="thin">
        <color rgb="FF000000"/>
      </left>
      <right style="thin">
        <color rgb="FF993366"/>
      </right>
      <top/>
      <bottom/>
      <diagonal/>
    </border>
    <border>
      <left style="thin">
        <color theme="7" tint="-0.499984740745262"/>
      </left>
      <right style="thin">
        <color theme="7" tint="-0.499984740745262"/>
      </right>
      <top style="thin">
        <color theme="0"/>
      </top>
      <bottom style="thin">
        <color rgb="FF000000"/>
      </bottom>
      <diagonal/>
    </border>
    <border>
      <left/>
      <right style="thin">
        <color theme="7" tint="0.79998168889431442"/>
      </right>
      <top style="thin">
        <color theme="7" tint="-0.499984740745262"/>
      </top>
      <bottom style="thin">
        <color rgb="FF000000"/>
      </bottom>
      <diagonal/>
    </border>
    <border>
      <left style="thin">
        <color theme="7" tint="0.79998168889431442"/>
      </left>
      <right style="thin">
        <color theme="7" tint="-0.499984740745262"/>
      </right>
      <top style="thin">
        <color theme="7" tint="-0.499984740745262"/>
      </top>
      <bottom style="thin">
        <color rgb="FF000000"/>
      </bottom>
      <diagonal/>
    </border>
    <border>
      <left style="thin">
        <color rgb="FF993366"/>
      </left>
      <right style="thin">
        <color rgb="FF993366"/>
      </right>
      <top style="thin">
        <color rgb="FF993366"/>
      </top>
      <bottom style="thin">
        <color rgb="FF993366"/>
      </bottom>
      <diagonal/>
    </border>
    <border>
      <left style="thin">
        <color theme="7" tint="-0.499984740745262"/>
      </left>
      <right/>
      <top style="thin">
        <color theme="0"/>
      </top>
      <bottom/>
      <diagonal/>
    </border>
    <border>
      <left style="thin">
        <color theme="7" tint="-0.499984740745262"/>
      </left>
      <right style="thin">
        <color theme="7" tint="-0.499984740745262"/>
      </right>
      <top style="thin">
        <color theme="7" tint="-0.499984740745262"/>
      </top>
      <bottom style="thin">
        <color theme="7" tint="-0.499984740745262"/>
      </bottom>
      <diagonal/>
    </border>
    <border>
      <left/>
      <right/>
      <top/>
      <bottom style="thin">
        <color rgb="FF000000"/>
      </bottom>
      <diagonal/>
    </border>
    <border>
      <left style="thin">
        <color theme="5"/>
      </left>
      <right style="thin">
        <color rgb="FF000000"/>
      </right>
      <top style="thin">
        <color theme="5"/>
      </top>
      <bottom style="thin">
        <color theme="5"/>
      </bottom>
      <diagonal/>
    </border>
    <border>
      <left style="thin">
        <color rgb="FF000000"/>
      </left>
      <right style="thin">
        <color theme="5"/>
      </right>
      <top style="thin">
        <color theme="5"/>
      </top>
      <bottom style="thin">
        <color theme="5"/>
      </bottom>
      <diagonal/>
    </border>
    <border>
      <left style="thin">
        <color rgb="FF800000"/>
      </left>
      <right/>
      <top style="thin">
        <color rgb="FF800000"/>
      </top>
      <bottom style="thin">
        <color rgb="FF800000"/>
      </bottom>
      <diagonal/>
    </border>
    <border>
      <left/>
      <right style="thin">
        <color rgb="FF800000"/>
      </right>
      <top style="thin">
        <color rgb="FF800000"/>
      </top>
      <bottom style="thin">
        <color rgb="FF800000"/>
      </bottom>
      <diagonal/>
    </border>
    <border>
      <left style="thin">
        <color rgb="FFC60606"/>
      </left>
      <right/>
      <top style="thin">
        <color theme="0"/>
      </top>
      <bottom style="thin">
        <color rgb="FFC60606"/>
      </bottom>
      <diagonal/>
    </border>
    <border>
      <left style="thin">
        <color rgb="FFC00000"/>
      </left>
      <right style="thin">
        <color rgb="FFC00000"/>
      </right>
      <top style="thin">
        <color rgb="FFC00000"/>
      </top>
      <bottom style="thin">
        <color rgb="FFC00000"/>
      </bottom>
      <diagonal/>
    </border>
    <border>
      <left style="thin">
        <color rgb="FFC60606"/>
      </left>
      <right/>
      <top style="thin">
        <color rgb="FFC60606"/>
      </top>
      <bottom/>
      <diagonal/>
    </border>
    <border>
      <left style="thin">
        <color rgb="FFC60606"/>
      </left>
      <right/>
      <top style="thin">
        <color theme="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theme="2" tint="-0.499984740745262"/>
      </bottom>
      <diagonal/>
    </border>
    <border>
      <left style="thin">
        <color rgb="FF000000"/>
      </left>
      <right style="thin">
        <color rgb="FF000000"/>
      </right>
      <top style="thin">
        <color theme="2" tint="-0.499984740745262"/>
      </top>
      <bottom style="thin">
        <color rgb="FF000000"/>
      </bottom>
      <diagonal/>
    </border>
    <border>
      <left style="thin">
        <color rgb="FF000000"/>
      </left>
      <right/>
      <top style="thin">
        <color rgb="FF000000"/>
      </top>
      <bottom style="thin">
        <color theme="2" tint="-0.499984740745262"/>
      </bottom>
      <diagonal/>
    </border>
    <border>
      <left/>
      <right style="thin">
        <color rgb="FF000000"/>
      </right>
      <top style="thin">
        <color rgb="FF000000"/>
      </top>
      <bottom style="thin">
        <color theme="2" tint="-0.499984740745262"/>
      </bottom>
      <diagonal/>
    </border>
    <border>
      <left style="thin">
        <color rgb="FF000000"/>
      </left>
      <right/>
      <top style="thin">
        <color theme="2" tint="-0.499984740745262"/>
      </top>
      <bottom/>
      <diagonal/>
    </border>
    <border>
      <left/>
      <right style="thin">
        <color indexed="64"/>
      </right>
      <top style="thin">
        <color theme="8" tint="-0.249977111117893"/>
      </top>
      <bottom/>
      <diagonal/>
    </border>
    <border>
      <left style="thin">
        <color theme="8" tint="-0.249977111117893"/>
      </left>
      <right style="thin">
        <color theme="8" tint="-0.249977111117893"/>
      </right>
      <top/>
      <bottom/>
      <diagonal/>
    </border>
    <border>
      <left style="thin">
        <color theme="8"/>
      </left>
      <right style="thin">
        <color theme="8"/>
      </right>
      <top style="thin">
        <color theme="8"/>
      </top>
      <bottom style="thin">
        <color theme="8"/>
      </bottom>
      <diagonal/>
    </border>
    <border>
      <left style="thin">
        <color theme="2" tint="-0.499984740745262"/>
      </left>
      <right/>
      <top style="thin">
        <color theme="2" tint="-0.499984740745262"/>
      </top>
      <bottom/>
      <diagonal/>
    </border>
    <border>
      <left/>
      <right style="thin">
        <color theme="8"/>
      </right>
      <top style="thin">
        <color theme="8"/>
      </top>
      <bottom style="thin">
        <color theme="8"/>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style="thin">
        <color indexed="64"/>
      </left>
      <right style="thin">
        <color rgb="FF000000"/>
      </right>
      <top style="thin">
        <color indexed="64"/>
      </top>
      <bottom/>
      <diagonal/>
    </border>
    <border>
      <left/>
      <right/>
      <top style="thin">
        <color rgb="FF000000"/>
      </top>
      <bottom style="thin">
        <color rgb="FF000000"/>
      </bottom>
      <diagonal/>
    </border>
    <border>
      <left style="thin">
        <color theme="9" tint="0.39997558519241921"/>
      </left>
      <right style="thin">
        <color rgb="FF000000"/>
      </right>
      <top style="thin">
        <color theme="9" tint="0.39997558519241921"/>
      </top>
      <bottom style="thin">
        <color theme="9" tint="0.39997558519241921"/>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0" fontId="4" fillId="2" borderId="1" applyNumberFormat="0" applyAlignment="0" applyProtection="0"/>
  </cellStyleXfs>
  <cellXfs count="365">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xf>
    <xf numFmtId="0" fontId="0" fillId="0" borderId="2" xfId="0" applyBorder="1"/>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9"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1" xfId="0" applyBorder="1"/>
    <xf numFmtId="0" fontId="0" fillId="0" borderId="25" xfId="0" applyBorder="1"/>
    <xf numFmtId="0" fontId="2" fillId="5" borderId="21" xfId="0" applyFont="1" applyFill="1" applyBorder="1" applyAlignment="1">
      <alignment horizontal="center" vertical="center"/>
    </xf>
    <xf numFmtId="0" fontId="2" fillId="5" borderId="22" xfId="0" applyFont="1" applyFill="1" applyBorder="1" applyAlignment="1">
      <alignment horizontal="center" vertical="center"/>
    </xf>
    <xf numFmtId="0" fontId="2" fillId="0" borderId="29" xfId="0" applyFont="1" applyBorder="1"/>
    <xf numFmtId="0" fontId="9" fillId="0" borderId="0" xfId="0" applyFont="1"/>
    <xf numFmtId="0" fontId="10" fillId="0" borderId="0" xfId="0" applyFont="1"/>
    <xf numFmtId="0" fontId="9" fillId="0" borderId="0" xfId="0" applyFont="1" applyAlignment="1">
      <alignment horizontal="left"/>
    </xf>
    <xf numFmtId="0" fontId="11" fillId="0" borderId="0" xfId="0" applyFont="1" applyAlignment="1">
      <alignment vertical="center"/>
    </xf>
    <xf numFmtId="0" fontId="0" fillId="0" borderId="0" xfId="0" applyAlignment="1">
      <alignment vertical="top"/>
    </xf>
    <xf numFmtId="0" fontId="3" fillId="0" borderId="46" xfId="0" applyFont="1" applyBorder="1" applyAlignment="1">
      <alignment vertical="center" wrapText="1"/>
    </xf>
    <xf numFmtId="0" fontId="13" fillId="11" borderId="51" xfId="0" applyFont="1" applyFill="1" applyBorder="1" applyAlignment="1">
      <alignment horizontal="center" vertical="center"/>
    </xf>
    <xf numFmtId="0" fontId="13" fillId="11" borderId="52" xfId="0" applyFont="1" applyFill="1" applyBorder="1" applyAlignment="1">
      <alignment horizontal="center" vertical="center"/>
    </xf>
    <xf numFmtId="0" fontId="13" fillId="12" borderId="38" xfId="0" applyFont="1" applyFill="1" applyBorder="1" applyAlignment="1">
      <alignment horizontal="center" vertical="center"/>
    </xf>
    <xf numFmtId="0" fontId="18" fillId="0" borderId="0" xfId="0" applyFont="1"/>
    <xf numFmtId="0" fontId="18" fillId="0" borderId="0" xfId="0" applyFont="1" applyAlignment="1">
      <alignment horizontal="center" vertical="center"/>
    </xf>
    <xf numFmtId="0" fontId="14" fillId="0" borderId="0" xfId="0" applyFont="1"/>
    <xf numFmtId="0" fontId="0" fillId="0" borderId="56" xfId="0" applyBorder="1"/>
    <xf numFmtId="0" fontId="0" fillId="0" borderId="58" xfId="0" applyBorder="1"/>
    <xf numFmtId="0" fontId="13" fillId="7" borderId="63" xfId="0" applyFont="1" applyFill="1" applyBorder="1" applyAlignment="1">
      <alignment horizontal="center" vertical="center"/>
    </xf>
    <xf numFmtId="0" fontId="13" fillId="7" borderId="64"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0" fillId="0" borderId="67" xfId="0" applyBorder="1"/>
    <xf numFmtId="0" fontId="0" fillId="0" borderId="68" xfId="0" applyBorder="1"/>
    <xf numFmtId="0" fontId="0" fillId="0" borderId="69" xfId="0" applyBorder="1"/>
    <xf numFmtId="0" fontId="13" fillId="9" borderId="72" xfId="0" applyFont="1" applyFill="1" applyBorder="1" applyAlignment="1">
      <alignment horizontal="center" vertical="center"/>
    </xf>
    <xf numFmtId="0" fontId="13" fillId="12" borderId="73" xfId="0" applyFont="1" applyFill="1" applyBorder="1" applyAlignment="1">
      <alignment horizontal="center" vertical="center"/>
    </xf>
    <xf numFmtId="0" fontId="13" fillId="12" borderId="74" xfId="0" applyFont="1" applyFill="1" applyBorder="1" applyAlignment="1">
      <alignment horizontal="center" vertical="center"/>
    </xf>
    <xf numFmtId="0" fontId="13" fillId="12" borderId="76" xfId="0" applyFont="1" applyFill="1" applyBorder="1" applyAlignment="1">
      <alignment horizontal="center" vertical="center"/>
    </xf>
    <xf numFmtId="0" fontId="0" fillId="0" borderId="77" xfId="0" applyBorder="1"/>
    <xf numFmtId="0" fontId="0" fillId="0" borderId="78" xfId="0" applyBorder="1"/>
    <xf numFmtId="0" fontId="13" fillId="15" borderId="81" xfId="0" applyFont="1" applyFill="1" applyBorder="1" applyAlignment="1">
      <alignment horizontal="center" vertical="center"/>
    </xf>
    <xf numFmtId="0" fontId="13" fillId="15" borderId="82" xfId="0" applyFont="1" applyFill="1" applyBorder="1" applyAlignment="1">
      <alignment horizontal="center" vertical="center"/>
    </xf>
    <xf numFmtId="0" fontId="13" fillId="15" borderId="86" xfId="0" applyFont="1" applyFill="1" applyBorder="1" applyAlignment="1">
      <alignment horizontal="center" vertical="center"/>
    </xf>
    <xf numFmtId="0" fontId="13" fillId="15" borderId="85" xfId="0" applyFont="1" applyFill="1" applyBorder="1" applyAlignment="1">
      <alignment horizontal="center" vertical="center"/>
    </xf>
    <xf numFmtId="0" fontId="0" fillId="0" borderId="87" xfId="0" applyBorder="1"/>
    <xf numFmtId="0" fontId="0" fillId="0" borderId="49" xfId="0" applyBorder="1"/>
    <xf numFmtId="0" fontId="0" fillId="0" borderId="21" xfId="0" applyBorder="1" applyAlignment="1">
      <alignment horizontal="center" vertical="center"/>
    </xf>
    <xf numFmtId="0" fontId="0" fillId="0" borderId="90"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vertical="center"/>
    </xf>
    <xf numFmtId="0" fontId="0" fillId="0" borderId="90" xfId="0" applyBorder="1"/>
    <xf numFmtId="0" fontId="0" fillId="0" borderId="94" xfId="0" applyBorder="1"/>
    <xf numFmtId="0" fontId="0" fillId="0" borderId="95" xfId="0" applyBorder="1" applyAlignment="1">
      <alignment vertical="center"/>
    </xf>
    <xf numFmtId="0" fontId="0" fillId="0" borderId="90" xfId="0" applyBorder="1" applyAlignment="1">
      <alignment horizontal="center"/>
    </xf>
    <xf numFmtId="0" fontId="0" fillId="0" borderId="95" xfId="0" applyBorder="1" applyAlignment="1">
      <alignment horizontal="center" vertical="center"/>
    </xf>
    <xf numFmtId="0" fontId="13" fillId="10" borderId="98" xfId="0" applyFont="1" applyFill="1" applyBorder="1" applyAlignment="1">
      <alignment horizontal="center" vertical="center"/>
    </xf>
    <xf numFmtId="0" fontId="13" fillId="10" borderId="99" xfId="0" applyFont="1" applyFill="1" applyBorder="1" applyAlignment="1">
      <alignment horizontal="center" vertical="center"/>
    </xf>
    <xf numFmtId="0" fontId="13" fillId="10" borderId="100" xfId="0" applyFont="1" applyFill="1" applyBorder="1" applyAlignment="1">
      <alignment horizontal="center" vertical="center"/>
    </xf>
    <xf numFmtId="0" fontId="13" fillId="11" borderId="109" xfId="0" applyFont="1" applyFill="1" applyBorder="1" applyAlignment="1">
      <alignment horizontal="center" vertical="center"/>
    </xf>
    <xf numFmtId="0" fontId="27" fillId="0" borderId="0" xfId="0" applyFont="1" applyAlignment="1">
      <alignment vertical="center"/>
    </xf>
    <xf numFmtId="0" fontId="0" fillId="0" borderId="21" xfId="0" applyBorder="1" applyAlignment="1">
      <alignment horizontal="center"/>
    </xf>
    <xf numFmtId="0" fontId="3" fillId="0" borderId="68" xfId="0" applyFont="1" applyBorder="1" applyAlignment="1">
      <alignment vertical="center" wrapText="1"/>
    </xf>
    <xf numFmtId="0" fontId="13" fillId="12" borderId="115" xfId="0" applyFont="1" applyFill="1" applyBorder="1" applyAlignment="1">
      <alignment horizontal="center" vertical="center"/>
    </xf>
    <xf numFmtId="0" fontId="13" fillId="14" borderId="120" xfId="0" applyFont="1" applyFill="1" applyBorder="1" applyAlignment="1">
      <alignment horizontal="center" vertical="center"/>
    </xf>
    <xf numFmtId="0" fontId="13" fillId="14" borderId="122" xfId="0" applyFont="1" applyFill="1" applyBorder="1" applyAlignment="1">
      <alignment horizontal="center" vertical="center"/>
    </xf>
    <xf numFmtId="0" fontId="13" fillId="14" borderId="123" xfId="0" applyFont="1" applyFill="1" applyBorder="1" applyAlignment="1">
      <alignment horizontal="center" vertical="center"/>
    </xf>
    <xf numFmtId="0" fontId="0" fillId="0" borderId="124" xfId="0" applyBorder="1"/>
    <xf numFmtId="0" fontId="0" fillId="0" borderId="125" xfId="0" applyBorder="1"/>
    <xf numFmtId="0" fontId="0" fillId="0" borderId="126" xfId="0" applyBorder="1"/>
    <xf numFmtId="0" fontId="0" fillId="0" borderId="92" xfId="0" applyBorder="1"/>
    <xf numFmtId="0" fontId="0" fillId="0" borderId="95" xfId="0" applyBorder="1"/>
    <xf numFmtId="0" fontId="0" fillId="0" borderId="96" xfId="0" applyBorder="1"/>
    <xf numFmtId="0" fontId="0" fillId="0" borderId="127" xfId="0" applyBorder="1"/>
    <xf numFmtId="0" fontId="0" fillId="0" borderId="128" xfId="0" applyBorder="1"/>
    <xf numFmtId="0" fontId="0" fillId="0" borderId="129" xfId="0" applyBorder="1"/>
    <xf numFmtId="0" fontId="0" fillId="0" borderId="130" xfId="0" applyBorder="1"/>
    <xf numFmtId="0" fontId="0" fillId="0" borderId="132" xfId="0" applyBorder="1"/>
    <xf numFmtId="0" fontId="0" fillId="0" borderId="135" xfId="0" applyBorder="1"/>
    <xf numFmtId="0" fontId="0" fillId="0" borderId="136" xfId="0" applyBorder="1"/>
    <xf numFmtId="0" fontId="0" fillId="0" borderId="137" xfId="0" applyBorder="1"/>
    <xf numFmtId="0" fontId="0" fillId="0" borderId="131" xfId="0" applyBorder="1" applyAlignment="1">
      <alignment horizontal="center" vertical="center"/>
    </xf>
    <xf numFmtId="0" fontId="0" fillId="0" borderId="92" xfId="0" applyBorder="1" applyAlignment="1">
      <alignment vertical="center"/>
    </xf>
    <xf numFmtId="0" fontId="0" fillId="0" borderId="24" xfId="0" applyBorder="1" applyAlignment="1">
      <alignment horizontal="center"/>
    </xf>
    <xf numFmtId="0" fontId="22" fillId="0" borderId="90" xfId="0" applyFont="1" applyBorder="1" applyAlignment="1">
      <alignment horizontal="left" wrapText="1"/>
    </xf>
    <xf numFmtId="0" fontId="21" fillId="0" borderId="90" xfId="0" applyFont="1" applyBorder="1" applyAlignment="1">
      <alignment horizontal="left" wrapText="1"/>
    </xf>
    <xf numFmtId="0" fontId="19" fillId="0" borderId="90" xfId="0" applyFont="1" applyBorder="1" applyAlignment="1">
      <alignment horizontal="left" wrapText="1"/>
    </xf>
    <xf numFmtId="0" fontId="20" fillId="0" borderId="90" xfId="0" applyFont="1" applyBorder="1" applyAlignment="1">
      <alignment horizontal="left" wrapText="1"/>
    </xf>
    <xf numFmtId="0" fontId="22" fillId="0" borderId="90" xfId="0" applyFont="1" applyBorder="1" applyAlignment="1">
      <alignment horizontal="left" vertical="center" wrapText="1"/>
    </xf>
    <xf numFmtId="0" fontId="7" fillId="16" borderId="7" xfId="0" applyFont="1" applyFill="1" applyBorder="1" applyAlignment="1">
      <alignment horizontal="center" vertical="center"/>
    </xf>
    <xf numFmtId="0" fontId="7" fillId="16" borderId="9" xfId="0" applyFont="1" applyFill="1" applyBorder="1" applyAlignment="1">
      <alignment horizontal="center" vertical="center"/>
    </xf>
    <xf numFmtId="0" fontId="7" fillId="16" borderId="134" xfId="0" applyFont="1" applyFill="1" applyBorder="1" applyAlignment="1">
      <alignment horizontal="center" vertical="center"/>
    </xf>
    <xf numFmtId="0" fontId="7" fillId="16" borderId="135" xfId="0" applyFont="1" applyFill="1" applyBorder="1" applyAlignment="1">
      <alignment horizontal="center" vertical="center"/>
    </xf>
    <xf numFmtId="0" fontId="7" fillId="16" borderId="6" xfId="0" applyFont="1" applyFill="1" applyBorder="1" applyAlignment="1">
      <alignment horizontal="center" vertical="center"/>
    </xf>
    <xf numFmtId="0" fontId="7" fillId="17" borderId="7" xfId="0" applyFont="1" applyFill="1" applyBorder="1" applyAlignment="1">
      <alignment horizontal="center" vertical="center"/>
    </xf>
    <xf numFmtId="0" fontId="7" fillId="17" borderId="9" xfId="0" applyFont="1" applyFill="1" applyBorder="1" applyAlignment="1">
      <alignment horizontal="center" vertical="center"/>
    </xf>
    <xf numFmtId="0" fontId="7" fillId="17" borderId="6" xfId="0" applyFont="1" applyFill="1" applyBorder="1" applyAlignment="1">
      <alignment horizontal="center" vertical="center"/>
    </xf>
    <xf numFmtId="0" fontId="7" fillId="17" borderId="4" xfId="0" applyFont="1" applyFill="1" applyBorder="1" applyAlignment="1">
      <alignment horizontal="center" vertical="center"/>
    </xf>
    <xf numFmtId="0" fontId="7" fillId="17" borderId="135" xfId="0" applyFont="1" applyFill="1" applyBorder="1" applyAlignment="1">
      <alignment horizontal="center" vertical="center"/>
    </xf>
    <xf numFmtId="0" fontId="7" fillId="18" borderId="7" xfId="0" applyFont="1" applyFill="1" applyBorder="1" applyAlignment="1">
      <alignment horizontal="center" vertical="center"/>
    </xf>
    <xf numFmtId="0" fontId="7" fillId="18" borderId="9" xfId="0" applyFont="1" applyFill="1" applyBorder="1" applyAlignment="1">
      <alignment horizontal="center" vertical="center"/>
    </xf>
    <xf numFmtId="0" fontId="7" fillId="18" borderId="6" xfId="0" applyFont="1" applyFill="1" applyBorder="1" applyAlignment="1">
      <alignment horizontal="center" vertical="center"/>
    </xf>
    <xf numFmtId="0" fontId="7" fillId="18" borderId="4" xfId="0" applyFont="1" applyFill="1" applyBorder="1" applyAlignment="1">
      <alignment horizontal="center" vertical="center"/>
    </xf>
    <xf numFmtId="0" fontId="7" fillId="18" borderId="90" xfId="0" applyFont="1" applyFill="1" applyBorder="1" applyAlignment="1">
      <alignment horizontal="center" vertical="center"/>
    </xf>
    <xf numFmtId="0" fontId="7" fillId="18" borderId="134" xfId="0" applyFont="1" applyFill="1" applyBorder="1" applyAlignment="1">
      <alignment horizontal="center" vertical="center"/>
    </xf>
    <xf numFmtId="0" fontId="7" fillId="18" borderId="91" xfId="0" applyFont="1" applyFill="1" applyBorder="1" applyAlignment="1">
      <alignment horizontal="center" vertical="center"/>
    </xf>
    <xf numFmtId="0" fontId="7" fillId="19" borderId="7" xfId="0" applyFont="1" applyFill="1" applyBorder="1" applyAlignment="1">
      <alignment horizontal="center" vertical="center"/>
    </xf>
    <xf numFmtId="0" fontId="7" fillId="19" borderId="9" xfId="0" applyFont="1" applyFill="1" applyBorder="1" applyAlignment="1">
      <alignment horizontal="center" vertical="center"/>
    </xf>
    <xf numFmtId="0" fontId="7" fillId="19" borderId="6" xfId="0" applyFont="1" applyFill="1" applyBorder="1" applyAlignment="1">
      <alignment horizontal="center" vertical="center"/>
    </xf>
    <xf numFmtId="0" fontId="7" fillId="19" borderId="4" xfId="0" applyFont="1" applyFill="1" applyBorder="1" applyAlignment="1">
      <alignment horizontal="center" vertical="center"/>
    </xf>
    <xf numFmtId="0" fontId="7" fillId="20" borderId="7" xfId="0" applyFont="1" applyFill="1" applyBorder="1" applyAlignment="1">
      <alignment horizontal="center" vertical="center"/>
    </xf>
    <xf numFmtId="0" fontId="7" fillId="20" borderId="9" xfId="0" applyFont="1" applyFill="1" applyBorder="1" applyAlignment="1">
      <alignment horizontal="center" vertical="center"/>
    </xf>
    <xf numFmtId="0" fontId="7" fillId="20" borderId="135" xfId="0" applyFont="1" applyFill="1" applyBorder="1" applyAlignment="1">
      <alignment horizontal="center" vertical="center"/>
    </xf>
    <xf numFmtId="0" fontId="7" fillId="20" borderId="6" xfId="0" applyFont="1" applyFill="1" applyBorder="1" applyAlignment="1">
      <alignment horizontal="center" vertical="center"/>
    </xf>
    <xf numFmtId="0" fontId="7" fillId="20" borderId="4" xfId="0" applyFont="1" applyFill="1" applyBorder="1" applyAlignment="1">
      <alignment horizontal="center" vertical="center"/>
    </xf>
    <xf numFmtId="0" fontId="7" fillId="19" borderId="135" xfId="0" applyFont="1" applyFill="1" applyBorder="1" applyAlignment="1">
      <alignment horizontal="center" vertical="center"/>
    </xf>
    <xf numFmtId="0" fontId="29" fillId="0" borderId="0" xfId="0" quotePrefix="1" applyFont="1"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141" xfId="0" applyBorder="1" applyAlignment="1">
      <alignment vertical="center" wrapText="1"/>
    </xf>
    <xf numFmtId="0" fontId="0" fillId="0" borderId="140" xfId="0" applyBorder="1" applyAlignment="1">
      <alignment vertical="center" wrapText="1"/>
    </xf>
    <xf numFmtId="0" fontId="0" fillId="0" borderId="140" xfId="0" applyBorder="1" applyAlignment="1">
      <alignment horizontal="left" vertical="center" wrapText="1"/>
    </xf>
    <xf numFmtId="0" fontId="0" fillId="0" borderId="142" xfId="0" applyBorder="1" applyAlignment="1">
      <alignment horizontal="left" vertical="center" wrapText="1"/>
    </xf>
    <xf numFmtId="9" fontId="0" fillId="0" borderId="0" xfId="0" applyNumberFormat="1" applyAlignment="1">
      <alignment horizontal="center"/>
    </xf>
    <xf numFmtId="9" fontId="0" fillId="0" borderId="90" xfId="0" applyNumberFormat="1" applyBorder="1" applyAlignment="1">
      <alignment horizontal="center"/>
    </xf>
    <xf numFmtId="0" fontId="0" fillId="0" borderId="91" xfId="0" applyBorder="1" applyAlignment="1">
      <alignment horizontal="center" vertical="center"/>
    </xf>
    <xf numFmtId="0" fontId="6" fillId="0" borderId="0" xfId="0" applyFont="1" applyAlignment="1">
      <alignment vertical="center"/>
    </xf>
    <xf numFmtId="0" fontId="15" fillId="13" borderId="144" xfId="0" applyFont="1" applyFill="1" applyBorder="1" applyAlignment="1">
      <alignment horizontal="center" vertical="center"/>
    </xf>
    <xf numFmtId="0" fontId="15" fillId="13" borderId="91" xfId="0" applyFont="1" applyFill="1" applyBorder="1" applyAlignment="1">
      <alignment horizontal="center" vertical="center"/>
    </xf>
    <xf numFmtId="0" fontId="15" fillId="13" borderId="143" xfId="0" applyFont="1" applyFill="1" applyBorder="1" applyAlignment="1">
      <alignment horizontal="center" vertical="center"/>
    </xf>
    <xf numFmtId="0" fontId="0" fillId="0" borderId="90" xfId="0" applyBorder="1" applyAlignment="1">
      <alignment horizontal="center" vertical="center" wrapText="1"/>
    </xf>
    <xf numFmtId="9" fontId="14" fillId="0" borderId="0" xfId="0" applyNumberFormat="1" applyFont="1"/>
    <xf numFmtId="0" fontId="13" fillId="26" borderId="72" xfId="0" applyFont="1" applyFill="1" applyBorder="1" applyAlignment="1">
      <alignment horizontal="center" vertical="center"/>
    </xf>
    <xf numFmtId="0" fontId="13" fillId="26" borderId="88" xfId="0" applyFont="1" applyFill="1" applyBorder="1" applyAlignment="1">
      <alignment horizontal="center" vertical="center"/>
    </xf>
    <xf numFmtId="0" fontId="13" fillId="26" borderId="93" xfId="0" applyFont="1" applyFill="1" applyBorder="1" applyAlignment="1">
      <alignment horizontal="center" vertical="center"/>
    </xf>
    <xf numFmtId="10" fontId="0" fillId="0" borderId="90" xfId="0" applyNumberFormat="1" applyBorder="1" applyAlignment="1">
      <alignment horizontal="center" vertical="center"/>
    </xf>
    <xf numFmtId="0" fontId="5" fillId="0" borderId="90" xfId="0" applyFont="1" applyBorder="1" applyAlignment="1">
      <alignment vertical="center" wrapText="1"/>
    </xf>
    <xf numFmtId="0" fontId="3" fillId="0" borderId="92" xfId="0" applyFont="1" applyBorder="1" applyAlignment="1">
      <alignment horizontal="left" vertical="center" wrapText="1"/>
    </xf>
    <xf numFmtId="0" fontId="0" fillId="0" borderId="90" xfId="0" applyBorder="1" applyAlignment="1">
      <alignment wrapText="1"/>
    </xf>
    <xf numFmtId="0" fontId="5" fillId="0" borderId="0" xfId="0" applyFont="1" applyAlignment="1">
      <alignment vertical="center" wrapText="1"/>
    </xf>
    <xf numFmtId="0" fontId="6" fillId="27" borderId="32" xfId="0" applyFont="1" applyFill="1" applyBorder="1" applyAlignment="1">
      <alignment horizontal="center" vertical="center"/>
    </xf>
    <xf numFmtId="0" fontId="7" fillId="27" borderId="72" xfId="0" applyFont="1" applyFill="1" applyBorder="1" applyAlignment="1">
      <alignment horizontal="center" vertical="center"/>
    </xf>
    <xf numFmtId="0" fontId="7" fillId="28" borderId="89" xfId="0" applyFont="1" applyFill="1" applyBorder="1" applyAlignment="1">
      <alignment horizontal="center" vertical="center"/>
    </xf>
    <xf numFmtId="0" fontId="7" fillId="28" borderId="113" xfId="0" applyFont="1" applyFill="1" applyBorder="1" applyAlignment="1">
      <alignment horizontal="center" vertical="center"/>
    </xf>
    <xf numFmtId="0" fontId="0" fillId="0" borderId="91" xfId="0" applyBorder="1" applyAlignment="1">
      <alignment horizontal="center"/>
    </xf>
    <xf numFmtId="0" fontId="0" fillId="0" borderId="96" xfId="0" applyBorder="1" applyAlignment="1">
      <alignment horizontal="center"/>
    </xf>
    <xf numFmtId="0" fontId="0" fillId="0" borderId="148" xfId="0" applyBorder="1" applyAlignment="1">
      <alignment horizontal="center"/>
    </xf>
    <xf numFmtId="0" fontId="0" fillId="0" borderId="125" xfId="0" applyBorder="1" applyAlignment="1">
      <alignment horizontal="center"/>
    </xf>
    <xf numFmtId="0" fontId="0" fillId="0" borderId="149" xfId="0" applyBorder="1" applyAlignment="1">
      <alignment horizontal="center"/>
    </xf>
    <xf numFmtId="0" fontId="0" fillId="0" borderId="126" xfId="0" applyBorder="1" applyAlignment="1">
      <alignment horizontal="center"/>
    </xf>
    <xf numFmtId="0" fontId="32" fillId="0" borderId="91" xfId="0" applyFont="1" applyBorder="1" applyAlignment="1">
      <alignment horizontal="center"/>
    </xf>
    <xf numFmtId="0" fontId="0" fillId="0" borderId="143" xfId="0" applyBorder="1" applyAlignment="1">
      <alignment horizontal="center"/>
    </xf>
    <xf numFmtId="0" fontId="22" fillId="0" borderId="91" xfId="0" applyFont="1" applyBorder="1" applyAlignment="1">
      <alignment horizontal="center" vertical="center"/>
    </xf>
    <xf numFmtId="0" fontId="22" fillId="0" borderId="96" xfId="0" applyFont="1" applyBorder="1" applyAlignment="1">
      <alignment horizontal="center" vertical="center"/>
    </xf>
    <xf numFmtId="0" fontId="22" fillId="0" borderId="147" xfId="0" applyFont="1" applyBorder="1" applyAlignment="1">
      <alignment horizontal="center" vertical="center"/>
    </xf>
    <xf numFmtId="0" fontId="22" fillId="0" borderId="124" xfId="0" applyFont="1"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0" fillId="0" borderId="138" xfId="0" applyBorder="1" applyAlignment="1">
      <alignment horizontal="center" vertical="center"/>
    </xf>
    <xf numFmtId="0" fontId="0" fillId="0" borderId="139" xfId="0" applyBorder="1" applyAlignment="1">
      <alignment horizontal="center" vertical="center"/>
    </xf>
    <xf numFmtId="0" fontId="0" fillId="0" borderId="91" xfId="0" applyBorder="1" applyAlignment="1">
      <alignment horizontal="center" vertical="center"/>
    </xf>
    <xf numFmtId="0" fontId="0" fillId="0" borderId="96" xfId="0" applyBorder="1" applyAlignment="1">
      <alignment horizontal="center" vertical="center"/>
    </xf>
    <xf numFmtId="0" fontId="0" fillId="0" borderId="91" xfId="0" applyBorder="1" applyAlignment="1">
      <alignment horizontal="center" vertical="center" wrapText="1"/>
    </xf>
    <xf numFmtId="0" fontId="0" fillId="0" borderId="96" xfId="0" applyBorder="1" applyAlignment="1">
      <alignment horizontal="center" vertical="center" wrapText="1"/>
    </xf>
    <xf numFmtId="0" fontId="15" fillId="13" borderId="91" xfId="0" applyFont="1" applyFill="1" applyBorder="1" applyAlignment="1">
      <alignment horizontal="center" vertical="center"/>
    </xf>
    <xf numFmtId="0" fontId="15" fillId="13" borderId="96" xfId="0" applyFont="1" applyFill="1" applyBorder="1" applyAlignment="1">
      <alignment horizontal="center" vertical="center"/>
    </xf>
    <xf numFmtId="0" fontId="30" fillId="25" borderId="90" xfId="0" applyFont="1" applyFill="1" applyBorder="1" applyAlignment="1">
      <alignment horizontal="center" vertical="center" textRotation="90"/>
    </xf>
    <xf numFmtId="0" fontId="31" fillId="25" borderId="90" xfId="0" applyFont="1" applyFill="1" applyBorder="1" applyAlignment="1">
      <alignment horizontal="center" vertical="center" textRotation="90"/>
    </xf>
    <xf numFmtId="0" fontId="0" fillId="0" borderId="145" xfId="0" applyBorder="1" applyAlignment="1">
      <alignment horizontal="center" vertical="center"/>
    </xf>
    <xf numFmtId="0" fontId="0" fillId="0" borderId="146" xfId="0" applyBorder="1" applyAlignment="1">
      <alignment horizontal="center" vertical="center"/>
    </xf>
    <xf numFmtId="0" fontId="7" fillId="0" borderId="90" xfId="0" applyFont="1" applyBorder="1" applyAlignment="1">
      <alignment horizontal="left"/>
    </xf>
    <xf numFmtId="0" fontId="5" fillId="0" borderId="90" xfId="0" applyFont="1" applyBorder="1" applyAlignment="1">
      <alignment horizontal="left"/>
    </xf>
    <xf numFmtId="0" fontId="23" fillId="0" borderId="90" xfId="0" applyFont="1" applyBorder="1" applyAlignment="1">
      <alignment vertical="center" wrapText="1"/>
    </xf>
    <xf numFmtId="0" fontId="23" fillId="0" borderId="90" xfId="0" applyFont="1" applyBorder="1" applyAlignment="1">
      <alignment wrapText="1"/>
    </xf>
    <xf numFmtId="0" fontId="5" fillId="0" borderId="90" xfId="0" applyFont="1" applyBorder="1" applyAlignment="1">
      <alignment vertical="center" wrapText="1"/>
    </xf>
    <xf numFmtId="0" fontId="15" fillId="21" borderId="32" xfId="0" applyFont="1" applyFill="1" applyBorder="1" applyAlignment="1">
      <alignment horizontal="center" vertical="center"/>
    </xf>
    <xf numFmtId="0" fontId="6" fillId="21" borderId="32" xfId="0" applyFont="1" applyFill="1" applyBorder="1" applyAlignment="1">
      <alignment horizontal="center" vertical="center"/>
    </xf>
    <xf numFmtId="0" fontId="8" fillId="3" borderId="3" xfId="1" applyFont="1" applyFill="1" applyBorder="1" applyAlignment="1">
      <alignment horizontal="center" vertical="center"/>
    </xf>
    <xf numFmtId="0" fontId="8" fillId="3" borderId="0" xfId="1" applyFont="1" applyFill="1" applyBorder="1" applyAlignment="1">
      <alignment horizontal="center" vertical="center"/>
    </xf>
    <xf numFmtId="0" fontId="9" fillId="0" borderId="0" xfId="0" applyFont="1" applyAlignment="1">
      <alignment horizont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5" borderId="28" xfId="0" applyFont="1" applyFill="1" applyBorder="1" applyAlignment="1">
      <alignment horizontal="center" vertical="center"/>
    </xf>
    <xf numFmtId="0" fontId="2" fillId="5" borderId="21" xfId="0" applyFont="1" applyFill="1" applyBorder="1" applyAlignment="1">
      <alignment horizontal="center" vertical="center"/>
    </xf>
    <xf numFmtId="0" fontId="15" fillId="9" borderId="32" xfId="0" applyFont="1" applyFill="1" applyBorder="1" applyAlignment="1">
      <alignment horizontal="center" vertical="center"/>
    </xf>
    <xf numFmtId="0" fontId="6" fillId="9" borderId="32" xfId="0" applyFont="1" applyFill="1" applyBorder="1" applyAlignment="1">
      <alignment horizontal="center" vertical="center"/>
    </xf>
    <xf numFmtId="0" fontId="24" fillId="0" borderId="90" xfId="0" applyFont="1" applyBorder="1" applyAlignment="1">
      <alignment horizontal="left"/>
    </xf>
    <xf numFmtId="0" fontId="23" fillId="0" borderId="127" xfId="0" applyFont="1" applyBorder="1" applyAlignment="1">
      <alignment horizontal="left"/>
    </xf>
    <xf numFmtId="0" fontId="24" fillId="0" borderId="127" xfId="0" applyFont="1" applyBorder="1" applyAlignment="1">
      <alignment horizontal="left"/>
    </xf>
    <xf numFmtId="0" fontId="23" fillId="0" borderId="90" xfId="0" applyFont="1" applyBorder="1" applyAlignment="1">
      <alignment horizontal="left"/>
    </xf>
    <xf numFmtId="0" fontId="23" fillId="6" borderId="92" xfId="0" applyFont="1" applyFill="1" applyBorder="1" applyAlignment="1">
      <alignment vertical="center" wrapText="1"/>
    </xf>
    <xf numFmtId="0" fontId="23" fillId="0" borderId="90" xfId="0" applyFont="1" applyBorder="1" applyAlignment="1">
      <alignment horizontal="left" vertical="center"/>
    </xf>
    <xf numFmtId="0" fontId="24" fillId="0" borderId="91" xfId="0" applyFont="1" applyBorder="1" applyAlignment="1">
      <alignment horizontal="left"/>
    </xf>
    <xf numFmtId="0" fontId="24" fillId="0" borderId="96" xfId="0" applyFont="1" applyBorder="1" applyAlignment="1">
      <alignment horizontal="left"/>
    </xf>
    <xf numFmtId="0" fontId="6" fillId="27" borderId="32" xfId="0" applyFont="1" applyFill="1" applyBorder="1" applyAlignment="1">
      <alignment horizontal="center" vertical="center"/>
    </xf>
    <xf numFmtId="0" fontId="3" fillId="0" borderId="90" xfId="0" applyFont="1" applyBorder="1" applyAlignment="1">
      <alignment vertical="center" wrapText="1"/>
    </xf>
    <xf numFmtId="0" fontId="15" fillId="8" borderId="32" xfId="0" applyFont="1" applyFill="1" applyBorder="1" applyAlignment="1">
      <alignment horizontal="center" vertical="center"/>
    </xf>
    <xf numFmtId="0" fontId="6" fillId="8" borderId="32" xfId="0" applyFont="1" applyFill="1" applyBorder="1" applyAlignment="1">
      <alignment horizontal="center" vertical="center"/>
    </xf>
    <xf numFmtId="0" fontId="22" fillId="0" borderId="90" xfId="0" applyFont="1" applyBorder="1" applyAlignment="1">
      <alignment horizontal="left"/>
    </xf>
    <xf numFmtId="0" fontId="22" fillId="0" borderId="95" xfId="0" applyFont="1" applyBorder="1" applyAlignment="1">
      <alignment horizontal="left"/>
    </xf>
    <xf numFmtId="0" fontId="24" fillId="0" borderId="95" xfId="0" applyFont="1" applyBorder="1" applyAlignment="1">
      <alignment horizontal="left"/>
    </xf>
    <xf numFmtId="0" fontId="22" fillId="0" borderId="90" xfId="0" applyFont="1" applyBorder="1" applyAlignment="1">
      <alignment vertical="center" wrapText="1"/>
    </xf>
    <xf numFmtId="0" fontId="22" fillId="6" borderId="92" xfId="0" applyFont="1" applyFill="1" applyBorder="1" applyAlignment="1">
      <alignment vertical="center" wrapText="1"/>
    </xf>
    <xf numFmtId="0" fontId="22" fillId="0" borderId="90" xfId="0" applyFont="1" applyBorder="1" applyAlignment="1">
      <alignment wrapText="1"/>
    </xf>
    <xf numFmtId="0" fontId="22" fillId="0" borderId="97" xfId="0" applyFont="1" applyBorder="1" applyAlignment="1">
      <alignment horizontal="left" vertical="center"/>
    </xf>
    <xf numFmtId="0" fontId="22" fillId="0" borderId="90" xfId="0" applyFont="1" applyBorder="1" applyAlignment="1">
      <alignment horizontal="left" vertical="center"/>
    </xf>
    <xf numFmtId="0" fontId="24" fillId="0" borderId="90" xfId="0" applyFont="1" applyBorder="1" applyAlignment="1">
      <alignment horizontal="left" vertical="center"/>
    </xf>
    <xf numFmtId="0" fontId="22" fillId="0" borderId="95" xfId="0" applyFont="1" applyBorder="1" applyAlignment="1">
      <alignment horizontal="left" vertical="center"/>
    </xf>
    <xf numFmtId="0" fontId="24" fillId="0" borderId="95" xfId="0" applyFont="1" applyBorder="1" applyAlignment="1">
      <alignment horizontal="left" vertical="center"/>
    </xf>
    <xf numFmtId="0" fontId="22" fillId="0" borderId="97" xfId="0" applyFont="1" applyBorder="1" applyAlignment="1">
      <alignment vertical="center"/>
    </xf>
    <xf numFmtId="0" fontId="22" fillId="0" borderId="90" xfId="0" applyFont="1" applyBorder="1" applyAlignment="1">
      <alignment vertical="center"/>
    </xf>
    <xf numFmtId="0" fontId="0" fillId="0" borderId="107" xfId="0" applyBorder="1" applyAlignment="1">
      <alignment horizontal="left"/>
    </xf>
    <xf numFmtId="0" fontId="0" fillId="0" borderId="108" xfId="0" applyBorder="1" applyAlignment="1">
      <alignment horizontal="left"/>
    </xf>
    <xf numFmtId="0" fontId="0" fillId="0" borderId="103" xfId="0" applyBorder="1" applyAlignment="1">
      <alignment horizontal="left"/>
    </xf>
    <xf numFmtId="0" fontId="0" fillId="0" borderId="104" xfId="0" applyBorder="1" applyAlignment="1">
      <alignment horizontal="left"/>
    </xf>
    <xf numFmtId="0" fontId="3" fillId="0" borderId="105" xfId="0" applyFont="1" applyBorder="1" applyAlignment="1">
      <alignment horizontal="left" vertical="center" wrapText="1"/>
    </xf>
    <xf numFmtId="0" fontId="3" fillId="0" borderId="106" xfId="0" applyFont="1" applyBorder="1" applyAlignment="1">
      <alignment horizontal="left" vertical="center" wrapText="1"/>
    </xf>
    <xf numFmtId="0" fontId="3" fillId="0" borderId="105" xfId="0" applyFont="1" applyBorder="1" applyAlignment="1">
      <alignment vertical="center" wrapText="1"/>
    </xf>
    <xf numFmtId="0" fontId="3" fillId="0" borderId="106" xfId="0" applyFont="1" applyBorder="1" applyAlignment="1">
      <alignment vertical="center" wrapText="1"/>
    </xf>
    <xf numFmtId="0" fontId="3" fillId="0" borderId="103" xfId="0" applyFont="1" applyBorder="1" applyAlignment="1">
      <alignment vertical="center" wrapText="1"/>
    </xf>
    <xf numFmtId="0" fontId="3" fillId="0" borderId="104" xfId="0" applyFont="1" applyBorder="1" applyAlignment="1">
      <alignment vertical="center" wrapText="1"/>
    </xf>
    <xf numFmtId="0" fontId="15" fillId="10" borderId="32" xfId="0" applyFont="1" applyFill="1" applyBorder="1" applyAlignment="1">
      <alignment horizontal="center" vertical="center"/>
    </xf>
    <xf numFmtId="0" fontId="6" fillId="10" borderId="32" xfId="0" applyFont="1" applyFill="1" applyBorder="1" applyAlignment="1">
      <alignment horizontal="center" vertical="center"/>
    </xf>
    <xf numFmtId="0" fontId="9" fillId="0" borderId="0" xfId="0" applyFont="1" applyAlignment="1">
      <alignment horizontal="left"/>
    </xf>
    <xf numFmtId="0" fontId="15" fillId="10" borderId="0" xfId="0" applyFont="1" applyFill="1" applyAlignment="1">
      <alignment horizontal="center" vertical="center"/>
    </xf>
    <xf numFmtId="0" fontId="0" fillId="0" borderId="105" xfId="0" applyBorder="1" applyAlignment="1">
      <alignment horizontal="left"/>
    </xf>
    <xf numFmtId="0" fontId="0" fillId="0" borderId="106" xfId="0" applyBorder="1" applyAlignment="1">
      <alignment horizontal="left"/>
    </xf>
    <xf numFmtId="0" fontId="3" fillId="0" borderId="107" xfId="0" applyFont="1" applyBorder="1" applyAlignment="1">
      <alignment vertical="center" wrapText="1"/>
    </xf>
    <xf numFmtId="0" fontId="3" fillId="0" borderId="108" xfId="0" applyFont="1" applyBorder="1" applyAlignment="1">
      <alignment vertical="center" wrapText="1"/>
    </xf>
    <xf numFmtId="0" fontId="3" fillId="0" borderId="112" xfId="0" applyFont="1" applyBorder="1" applyAlignment="1">
      <alignment horizontal="left" vertical="center" wrapText="1"/>
    </xf>
    <xf numFmtId="0" fontId="15" fillId="22" borderId="32" xfId="0" applyFont="1" applyFill="1" applyBorder="1" applyAlignment="1">
      <alignment horizontal="center" vertical="center"/>
    </xf>
    <xf numFmtId="0" fontId="6" fillId="22" borderId="32" xfId="0" applyFont="1" applyFill="1" applyBorder="1" applyAlignment="1">
      <alignment horizontal="center" vertical="center"/>
    </xf>
    <xf numFmtId="0" fontId="16" fillId="0" borderId="0" xfId="0" applyFont="1" applyAlignment="1">
      <alignment horizontal="left" vertical="center"/>
    </xf>
    <xf numFmtId="0" fontId="12" fillId="0" borderId="47" xfId="0" applyFont="1" applyBorder="1" applyAlignment="1">
      <alignment vertical="center" wrapText="1"/>
    </xf>
    <xf numFmtId="0" fontId="12" fillId="0" borderId="45" xfId="0" applyFont="1" applyBorder="1" applyAlignment="1">
      <alignment vertical="center" wrapText="1"/>
    </xf>
    <xf numFmtId="0" fontId="12" fillId="0" borderId="33" xfId="0" applyFont="1" applyBorder="1" applyAlignment="1">
      <alignment vertical="center" wrapText="1"/>
    </xf>
    <xf numFmtId="0" fontId="12" fillId="0" borderId="39" xfId="0" applyFont="1" applyBorder="1" applyAlignment="1">
      <alignment vertical="center" wrapText="1"/>
    </xf>
    <xf numFmtId="0" fontId="12" fillId="0" borderId="48" xfId="0" applyFont="1" applyBorder="1" applyAlignment="1">
      <alignment horizontal="left" vertical="center" wrapText="1"/>
    </xf>
    <xf numFmtId="0" fontId="12" fillId="0" borderId="40" xfId="0" applyFont="1" applyBorder="1" applyAlignment="1">
      <alignment horizontal="left" vertical="center" wrapText="1"/>
    </xf>
    <xf numFmtId="0" fontId="15" fillId="11" borderId="0" xfId="0" applyFont="1" applyFill="1" applyAlignment="1">
      <alignment horizontal="center" vertical="center"/>
    </xf>
    <xf numFmtId="0" fontId="12" fillId="0" borderId="110" xfId="0" applyFont="1" applyBorder="1" applyAlignment="1">
      <alignment vertical="center" wrapText="1"/>
    </xf>
    <xf numFmtId="0" fontId="12" fillId="0" borderId="111" xfId="0" applyFont="1" applyBorder="1" applyAlignment="1">
      <alignment vertical="center" wrapText="1"/>
    </xf>
    <xf numFmtId="0" fontId="17" fillId="0" borderId="49" xfId="0" applyFont="1" applyBorder="1" applyAlignment="1">
      <alignment horizontal="left" vertical="center" wrapText="1"/>
    </xf>
    <xf numFmtId="0" fontId="17" fillId="0" borderId="41" xfId="0" applyFont="1" applyBorder="1" applyAlignment="1">
      <alignment horizontal="left" vertical="center" wrapText="1"/>
    </xf>
    <xf numFmtId="0" fontId="17" fillId="0" borderId="50" xfId="0" applyFont="1" applyBorder="1" applyAlignment="1">
      <alignment horizontal="left" vertical="center" wrapText="1"/>
    </xf>
    <xf numFmtId="0" fontId="17" fillId="0" borderId="42" xfId="0" applyFont="1" applyBorder="1" applyAlignment="1">
      <alignment horizontal="left" vertical="center" wrapText="1"/>
    </xf>
    <xf numFmtId="0" fontId="17" fillId="0" borderId="0" xfId="0" applyFont="1" applyAlignment="1">
      <alignment horizontal="left" vertical="center" wrapText="1"/>
    </xf>
    <xf numFmtId="0" fontId="17" fillId="0" borderId="43" xfId="0" applyFont="1" applyBorder="1" applyAlignment="1">
      <alignment horizontal="left" vertical="center" wrapText="1"/>
    </xf>
    <xf numFmtId="0" fontId="12" fillId="0" borderId="44" xfId="0" applyFont="1" applyBorder="1" applyAlignment="1">
      <alignment vertical="center" wrapText="1"/>
    </xf>
    <xf numFmtId="0" fontId="26" fillId="0" borderId="0" xfId="0" applyFont="1" applyAlignment="1">
      <alignment horizontal="left" vertical="center"/>
    </xf>
    <xf numFmtId="0" fontId="25" fillId="3" borderId="3" xfId="1" applyFont="1" applyFill="1" applyBorder="1" applyAlignment="1">
      <alignment horizontal="center" vertical="center"/>
    </xf>
    <xf numFmtId="0" fontId="25" fillId="3" borderId="0" xfId="1" applyFont="1" applyFill="1" applyBorder="1" applyAlignment="1">
      <alignment horizontal="center" vertical="center"/>
    </xf>
    <xf numFmtId="0" fontId="6" fillId="28" borderId="0" xfId="0" applyFont="1" applyFill="1" applyAlignment="1">
      <alignment horizontal="center" vertical="center"/>
    </xf>
    <xf numFmtId="0" fontId="12" fillId="0" borderId="114" xfId="0" applyFont="1" applyBorder="1" applyAlignment="1">
      <alignment vertical="center" wrapText="1"/>
    </xf>
    <xf numFmtId="0" fontId="12" fillId="0" borderId="114" xfId="0" applyFont="1" applyBorder="1" applyAlignment="1">
      <alignment horizontal="left" vertical="center" wrapText="1"/>
    </xf>
    <xf numFmtId="0" fontId="17" fillId="0" borderId="114" xfId="0" applyFont="1" applyBorder="1" applyAlignment="1">
      <alignment horizontal="left" vertical="center" wrapText="1"/>
    </xf>
    <xf numFmtId="0" fontId="12" fillId="0" borderId="53" xfId="0" applyFont="1" applyBorder="1" applyAlignment="1">
      <alignment horizontal="left" vertical="center" wrapText="1"/>
    </xf>
    <xf numFmtId="0" fontId="12" fillId="0" borderId="42" xfId="0" applyFont="1" applyBorder="1" applyAlignment="1">
      <alignment horizontal="left" vertical="center" wrapText="1"/>
    </xf>
    <xf numFmtId="0" fontId="12" fillId="0" borderId="48" xfId="0" applyFont="1" applyBorder="1" applyAlignment="1">
      <alignment vertical="center" wrapText="1"/>
    </xf>
    <xf numFmtId="0" fontId="12" fillId="0" borderId="40" xfId="0" applyFont="1" applyBorder="1" applyAlignment="1">
      <alignment vertical="center" wrapText="1"/>
    </xf>
    <xf numFmtId="0" fontId="17" fillId="0" borderId="53" xfId="0" applyFont="1" applyBorder="1" applyAlignment="1">
      <alignment horizontal="left" vertical="center" wrapText="1"/>
    </xf>
    <xf numFmtId="0" fontId="15" fillId="23" borderId="32" xfId="0" applyFont="1" applyFill="1" applyBorder="1" applyAlignment="1">
      <alignment horizontal="center" vertical="center"/>
    </xf>
    <xf numFmtId="0" fontId="6" fillId="23" borderId="32" xfId="0" applyFont="1" applyFill="1" applyBorder="1" applyAlignment="1">
      <alignment horizontal="center" vertical="center"/>
    </xf>
    <xf numFmtId="0" fontId="11" fillId="0" borderId="0" xfId="0" applyFont="1" applyAlignment="1">
      <alignment horizontal="left" vertical="center"/>
    </xf>
    <xf numFmtId="0" fontId="12" fillId="0" borderId="34" xfId="0" applyFont="1" applyBorder="1" applyAlignment="1">
      <alignment vertical="center" wrapText="1"/>
    </xf>
    <xf numFmtId="0" fontId="12" fillId="0" borderId="35" xfId="0" applyFont="1" applyBorder="1" applyAlignment="1">
      <alignment vertical="center" wrapText="1"/>
    </xf>
    <xf numFmtId="0" fontId="15" fillId="12" borderId="0" xfId="0" applyFont="1" applyFill="1" applyAlignment="1">
      <alignment horizontal="center" vertical="center"/>
    </xf>
    <xf numFmtId="0" fontId="12" fillId="0" borderId="75" xfId="0" applyFont="1" applyBorder="1" applyAlignment="1">
      <alignment vertical="center" wrapText="1"/>
    </xf>
    <xf numFmtId="0" fontId="12" fillId="0" borderId="36" xfId="0" applyFont="1" applyBorder="1" applyAlignment="1">
      <alignment vertical="center" wrapText="1"/>
    </xf>
    <xf numFmtId="0" fontId="12" fillId="0" borderId="116" xfId="0" applyFont="1" applyBorder="1" applyAlignment="1">
      <alignment horizontal="left" vertical="center" wrapText="1"/>
    </xf>
    <xf numFmtId="0" fontId="12" fillId="0" borderId="117" xfId="0" applyFont="1" applyBorder="1" applyAlignment="1">
      <alignment horizontal="left" vertical="center" wrapText="1"/>
    </xf>
    <xf numFmtId="0" fontId="12" fillId="0" borderId="37" xfId="0" applyFont="1" applyBorder="1" applyAlignment="1">
      <alignment vertical="center" wrapText="1"/>
    </xf>
    <xf numFmtId="0" fontId="27" fillId="0" borderId="0" xfId="0" applyFont="1" applyAlignment="1">
      <alignment horizontal="left" vertical="center"/>
    </xf>
    <xf numFmtId="0" fontId="15" fillId="7" borderId="32" xfId="0" applyFont="1" applyFill="1" applyBorder="1" applyAlignment="1">
      <alignment horizontal="center" vertical="center"/>
    </xf>
    <xf numFmtId="0" fontId="6" fillId="7" borderId="32" xfId="0" applyFont="1" applyFill="1" applyBorder="1" applyAlignment="1">
      <alignment horizontal="center" vertical="center"/>
    </xf>
    <xf numFmtId="0" fontId="15" fillId="7" borderId="0" xfId="0" applyFont="1" applyFill="1" applyAlignment="1">
      <alignment horizontal="center" vertical="center"/>
    </xf>
    <xf numFmtId="0" fontId="12" fillId="0" borderId="59" xfId="0" applyFont="1" applyBorder="1" applyAlignment="1">
      <alignment vertical="center" wrapText="1"/>
    </xf>
    <xf numFmtId="0" fontId="12" fillId="0" borderId="60" xfId="0" applyFont="1" applyBorder="1" applyAlignment="1">
      <alignment vertical="center" wrapText="1"/>
    </xf>
    <xf numFmtId="0" fontId="17" fillId="0" borderId="58" xfId="0" applyFont="1" applyBorder="1" applyAlignment="1">
      <alignment horizontal="left" vertical="center" wrapText="1"/>
    </xf>
    <xf numFmtId="0" fontId="17" fillId="0" borderId="61" xfId="0" applyFont="1" applyBorder="1" applyAlignment="1">
      <alignment horizontal="left" vertical="center" wrapText="1"/>
    </xf>
    <xf numFmtId="0" fontId="17" fillId="0" borderId="55" xfId="0" applyFont="1" applyBorder="1" applyAlignment="1">
      <alignment horizontal="left" vertical="center" wrapText="1"/>
    </xf>
    <xf numFmtId="0" fontId="12" fillId="0" borderId="61"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62" xfId="0" applyFont="1" applyBorder="1" applyAlignment="1">
      <alignment horizontal="left" vertical="center" wrapText="1"/>
    </xf>
    <xf numFmtId="0" fontId="12" fillId="0" borderId="54" xfId="0" applyFont="1" applyBorder="1" applyAlignment="1">
      <alignment horizontal="left" vertical="center" wrapText="1"/>
    </xf>
    <xf numFmtId="0" fontId="15" fillId="15" borderId="32" xfId="0" applyFont="1" applyFill="1" applyBorder="1" applyAlignment="1">
      <alignment horizontal="center" vertical="center"/>
    </xf>
    <xf numFmtId="0" fontId="6" fillId="15" borderId="32" xfId="0" applyFont="1" applyFill="1" applyBorder="1" applyAlignment="1">
      <alignment horizontal="center" vertical="center"/>
    </xf>
    <xf numFmtId="0" fontId="3" fillId="0" borderId="84" xfId="0" applyFont="1" applyBorder="1" applyAlignment="1">
      <alignment vertical="center" wrapText="1"/>
    </xf>
    <xf numFmtId="0" fontId="3" fillId="0" borderId="83" xfId="0" applyFont="1" applyBorder="1" applyAlignment="1">
      <alignment vertical="center" wrapText="1"/>
    </xf>
    <xf numFmtId="0" fontId="15" fillId="15" borderId="0" xfId="0" applyFont="1" applyFill="1" applyAlignment="1">
      <alignment horizontal="center" vertical="center"/>
    </xf>
    <xf numFmtId="0" fontId="3" fillId="0" borderId="80" xfId="0" applyFont="1" applyBorder="1" applyAlignment="1">
      <alignment vertical="center" wrapText="1"/>
    </xf>
    <xf numFmtId="0" fontId="3" fillId="0" borderId="79" xfId="0" applyFont="1" applyBorder="1" applyAlignment="1">
      <alignment vertical="center" wrapText="1"/>
    </xf>
    <xf numFmtId="0" fontId="3" fillId="0" borderId="118" xfId="0" applyFont="1" applyBorder="1" applyAlignment="1">
      <alignment horizontal="left" vertical="center" wrapText="1"/>
    </xf>
    <xf numFmtId="0" fontId="3" fillId="0" borderId="119" xfId="0" applyFont="1" applyBorder="1" applyAlignment="1">
      <alignment horizontal="left" vertical="center" wrapText="1"/>
    </xf>
    <xf numFmtId="0" fontId="0" fillId="0" borderId="121" xfId="0" applyBorder="1" applyAlignment="1">
      <alignment horizontal="left"/>
    </xf>
    <xf numFmtId="0" fontId="0" fillId="0" borderId="121" xfId="0" applyBorder="1" applyAlignment="1">
      <alignment horizontal="left" vertical="center"/>
    </xf>
    <xf numFmtId="0" fontId="15" fillId="14" borderId="32" xfId="0" applyFont="1" applyFill="1" applyBorder="1" applyAlignment="1">
      <alignment horizontal="center" vertical="center"/>
    </xf>
    <xf numFmtId="0" fontId="6" fillId="14" borderId="32" xfId="0" applyFont="1" applyFill="1" applyBorder="1" applyAlignment="1">
      <alignment horizontal="center" vertical="center"/>
    </xf>
    <xf numFmtId="0" fontId="3" fillId="0" borderId="121" xfId="0" applyFont="1" applyBorder="1" applyAlignment="1">
      <alignment vertical="center" wrapText="1"/>
    </xf>
    <xf numFmtId="0" fontId="15" fillId="14" borderId="0" xfId="0" applyFont="1" applyFill="1" applyAlignment="1">
      <alignment horizontal="center" vertical="center"/>
    </xf>
    <xf numFmtId="0" fontId="6" fillId="16" borderId="18" xfId="0" applyFont="1" applyFill="1" applyBorder="1" applyAlignment="1">
      <alignment horizontal="center" vertical="center"/>
    </xf>
    <xf numFmtId="0" fontId="6" fillId="16" borderId="16" xfId="0" applyFont="1" applyFill="1" applyBorder="1" applyAlignment="1">
      <alignment horizontal="center" vertical="center"/>
    </xf>
    <xf numFmtId="0" fontId="5" fillId="0" borderId="8" xfId="0" applyFont="1" applyBorder="1" applyAlignment="1">
      <alignment vertical="center" wrapText="1"/>
    </xf>
    <xf numFmtId="0" fontId="5" fillId="0" borderId="11" xfId="0" applyFont="1" applyBorder="1" applyAlignment="1">
      <alignment vertical="center" wrapText="1"/>
    </xf>
    <xf numFmtId="0" fontId="5" fillId="0" borderId="5" xfId="0" applyFont="1" applyBorder="1" applyAlignment="1">
      <alignment vertical="center" wrapText="1"/>
    </xf>
    <xf numFmtId="0" fontId="5" fillId="0" borderId="12" xfId="0" applyFont="1" applyBorder="1" applyAlignment="1">
      <alignment vertical="center" wrapText="1"/>
    </xf>
    <xf numFmtId="0" fontId="5" fillId="0" borderId="10" xfId="0" applyFont="1" applyBorder="1" applyAlignment="1">
      <alignment horizontal="left" vertical="center" wrapText="1"/>
    </xf>
    <xf numFmtId="0" fontId="5" fillId="0" borderId="15" xfId="0" applyFont="1" applyBorder="1" applyAlignment="1">
      <alignment horizontal="left" vertical="center" wrapText="1"/>
    </xf>
    <xf numFmtId="0" fontId="5" fillId="0" borderId="133" xfId="0" applyFont="1" applyBorder="1" applyAlignment="1">
      <alignment vertical="center" wrapText="1"/>
    </xf>
    <xf numFmtId="0" fontId="5" fillId="0" borderId="30" xfId="0" applyFont="1" applyBorder="1" applyAlignment="1">
      <alignment vertical="center" wrapText="1"/>
    </xf>
    <xf numFmtId="0" fontId="5" fillId="0" borderId="31" xfId="0" applyFont="1" applyBorder="1" applyAlignment="1">
      <alignment vertical="center" wrapText="1"/>
    </xf>
    <xf numFmtId="0" fontId="6" fillId="16" borderId="32" xfId="0" applyFont="1" applyFill="1" applyBorder="1" applyAlignment="1">
      <alignment horizontal="center" vertical="center"/>
    </xf>
    <xf numFmtId="0" fontId="5" fillId="0" borderId="19" xfId="0" applyFont="1" applyBorder="1" applyAlignment="1">
      <alignment vertical="center" wrapText="1"/>
    </xf>
    <xf numFmtId="0" fontId="5" fillId="0" borderId="20" xfId="0" applyFont="1" applyBorder="1" applyAlignment="1">
      <alignment vertical="center" wrapText="1"/>
    </xf>
    <xf numFmtId="0" fontId="15" fillId="17" borderId="32" xfId="0" applyFont="1" applyFill="1" applyBorder="1" applyAlignment="1">
      <alignment horizontal="center" vertical="center"/>
    </xf>
    <xf numFmtId="0" fontId="6" fillId="17" borderId="32" xfId="0" applyFont="1" applyFill="1" applyBorder="1" applyAlignment="1">
      <alignment horizontal="center" vertical="center"/>
    </xf>
    <xf numFmtId="0" fontId="6" fillId="17" borderId="18" xfId="0" applyFont="1" applyFill="1" applyBorder="1" applyAlignment="1">
      <alignment horizontal="center" vertical="center"/>
    </xf>
    <xf numFmtId="0" fontId="6" fillId="17" borderId="16" xfId="0" applyFont="1" applyFill="1" applyBorder="1" applyAlignment="1">
      <alignment horizontal="center" vertical="center"/>
    </xf>
    <xf numFmtId="0" fontId="5" fillId="0" borderId="135" xfId="0" applyFont="1" applyBorder="1" applyAlignment="1">
      <alignment vertical="center" wrapText="1"/>
    </xf>
    <xf numFmtId="0" fontId="5" fillId="0" borderId="10" xfId="0" applyFont="1" applyBorder="1" applyAlignment="1">
      <alignment vertical="center" wrapText="1"/>
    </xf>
    <xf numFmtId="0" fontId="5" fillId="0" borderId="15" xfId="0" applyFont="1" applyBorder="1" applyAlignment="1">
      <alignment vertical="center" wrapText="1"/>
    </xf>
    <xf numFmtId="0" fontId="23" fillId="0" borderId="11" xfId="0" applyFont="1" applyBorder="1" applyAlignment="1">
      <alignment vertical="center" wrapText="1"/>
    </xf>
    <xf numFmtId="0" fontId="6" fillId="18" borderId="18" xfId="0" applyFont="1" applyFill="1" applyBorder="1" applyAlignment="1">
      <alignment horizontal="center" vertical="center"/>
    </xf>
    <xf numFmtId="0" fontId="6" fillId="18" borderId="16" xfId="0" applyFont="1" applyFill="1" applyBorder="1" applyAlignment="1">
      <alignment horizontal="center" vertical="center"/>
    </xf>
    <xf numFmtId="0" fontId="3" fillId="0" borderId="90" xfId="0" applyFont="1" applyBorder="1" applyAlignment="1">
      <alignment horizontal="left" vertical="center"/>
    </xf>
    <xf numFmtId="0" fontId="0" fillId="0" borderId="90" xfId="0" applyBorder="1" applyAlignment="1">
      <alignment horizontal="left" vertical="center"/>
    </xf>
    <xf numFmtId="0" fontId="5" fillId="0" borderId="90" xfId="0" applyFont="1" applyBorder="1" applyAlignment="1">
      <alignment horizontal="left" vertical="center" wrapText="1"/>
    </xf>
    <xf numFmtId="0" fontId="28" fillId="0" borderId="90" xfId="0" applyFont="1" applyBorder="1" applyAlignment="1">
      <alignment horizontal="left" vertical="center" wrapText="1"/>
    </xf>
    <xf numFmtId="0" fontId="23" fillId="0" borderId="90" xfId="0" applyFont="1" applyBorder="1" applyAlignment="1">
      <alignment horizontal="left" vertical="center" wrapText="1"/>
    </xf>
    <xf numFmtId="0" fontId="23" fillId="0" borderId="15" xfId="0" applyFont="1" applyBorder="1" applyAlignment="1">
      <alignment horizontal="left" vertical="center" wrapText="1"/>
    </xf>
    <xf numFmtId="0" fontId="23" fillId="0" borderId="92" xfId="0" applyFont="1" applyBorder="1" applyAlignment="1">
      <alignment vertical="center" wrapText="1"/>
    </xf>
    <xf numFmtId="0" fontId="23" fillId="0" borderId="127" xfId="0" applyFont="1" applyBorder="1" applyAlignment="1">
      <alignment vertical="center" wrapText="1"/>
    </xf>
    <xf numFmtId="0" fontId="23" fillId="0" borderId="14" xfId="0" applyFont="1" applyBorder="1" applyAlignment="1">
      <alignment vertical="center" wrapText="1"/>
    </xf>
    <xf numFmtId="0" fontId="15" fillId="18" borderId="32" xfId="0" applyFont="1" applyFill="1" applyBorder="1" applyAlignment="1">
      <alignment horizontal="center" vertical="center"/>
    </xf>
    <xf numFmtId="0" fontId="6" fillId="18" borderId="32" xfId="0" applyFont="1" applyFill="1" applyBorder="1" applyAlignment="1">
      <alignment horizontal="center" vertical="center"/>
    </xf>
    <xf numFmtId="0" fontId="23" fillId="0" borderId="31" xfId="0" applyFont="1" applyBorder="1" applyAlignment="1">
      <alignment vertical="center" wrapText="1"/>
    </xf>
    <xf numFmtId="0" fontId="23" fillId="0" borderId="20" xfId="0" applyFont="1" applyBorder="1" applyAlignment="1">
      <alignment vertical="center" wrapText="1"/>
    </xf>
    <xf numFmtId="0" fontId="15" fillId="20" borderId="32" xfId="0" applyFont="1" applyFill="1" applyBorder="1" applyAlignment="1">
      <alignment horizontal="center" vertical="center"/>
    </xf>
    <xf numFmtId="0" fontId="6" fillId="20" borderId="32" xfId="0" applyFont="1" applyFill="1" applyBorder="1" applyAlignment="1">
      <alignment horizontal="center" vertical="center"/>
    </xf>
    <xf numFmtId="0" fontId="6" fillId="20" borderId="18" xfId="0" applyFont="1" applyFill="1" applyBorder="1" applyAlignment="1">
      <alignment horizontal="center" vertical="center"/>
    </xf>
    <xf numFmtId="0" fontId="6" fillId="20" borderId="16" xfId="0" applyFont="1" applyFill="1" applyBorder="1" applyAlignment="1">
      <alignment horizontal="center" vertical="center"/>
    </xf>
    <xf numFmtId="0" fontId="6" fillId="19" borderId="18" xfId="0" applyFont="1" applyFill="1" applyBorder="1" applyAlignment="1">
      <alignment horizontal="center" vertical="center"/>
    </xf>
    <xf numFmtId="0" fontId="6" fillId="19" borderId="16"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6" xfId="0" applyFont="1" applyFill="1" applyBorder="1" applyAlignment="1">
      <alignment horizontal="center" vertical="center"/>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15" fillId="24" borderId="32" xfId="0" applyFont="1" applyFill="1" applyBorder="1" applyAlignment="1">
      <alignment horizontal="center" vertical="center"/>
    </xf>
    <xf numFmtId="0" fontId="6" fillId="24" borderId="32" xfId="0" applyFont="1" applyFill="1" applyBorder="1" applyAlignment="1">
      <alignment horizontal="center" vertical="center"/>
    </xf>
    <xf numFmtId="0" fontId="1" fillId="0" borderId="90" xfId="0" applyFont="1" applyBorder="1" applyAlignment="1">
      <alignment horizontal="left" wrapText="1"/>
    </xf>
    <xf numFmtId="0" fontId="1" fillId="0" borderId="0" xfId="0" applyFont="1" applyAlignment="1">
      <alignment horizontal="left" wrapText="1"/>
    </xf>
    <xf numFmtId="0" fontId="1" fillId="0" borderId="0" xfId="0" applyFont="1" applyAlignment="1">
      <alignment horizontal="left" vertical="center" wrapText="1"/>
    </xf>
    <xf numFmtId="0" fontId="10" fillId="0" borderId="0" xfId="0" applyFont="1" applyAlignment="1"/>
    <xf numFmtId="0" fontId="0" fillId="0" borderId="67" xfId="0" applyBorder="1" applyAlignment="1"/>
    <xf numFmtId="0" fontId="1" fillId="0" borderId="90" xfId="0" applyFont="1" applyBorder="1" applyAlignment="1">
      <alignment horizontal="left" vertical="center"/>
    </xf>
    <xf numFmtId="0" fontId="0" fillId="0" borderId="101" xfId="0" applyBorder="1" applyAlignment="1"/>
    <xf numFmtId="0" fontId="0" fillId="0" borderId="102" xfId="0" applyBorder="1" applyAlignment="1"/>
    <xf numFmtId="0" fontId="0" fillId="0" borderId="0" xfId="0" applyAlignment="1"/>
    <xf numFmtId="0" fontId="0" fillId="0" borderId="17" xfId="0" applyBorder="1" applyAlignment="1"/>
  </cellXfs>
  <cellStyles count="2">
    <cellStyle name="Celda de comprobación" xfId="1" builtinId="23"/>
    <cellStyle name="Normal" xfId="0" builtinId="0"/>
  </cellStyles>
  <dxfs count="0"/>
  <tableStyles count="0" defaultTableStyle="TableStyleMedium2" defaultPivotStyle="PivotStyleLight16"/>
  <colors>
    <mruColors>
      <color rgb="FFA6D1E3"/>
      <color rgb="FF203764"/>
      <color rgb="FFF5F5F5"/>
      <color rgb="FF993366"/>
      <color rgb="FFFF80B3"/>
      <color rgb="FF9BC2E6"/>
      <color rgb="FFC60606"/>
      <color rgb="FF800000"/>
      <color rgb="FF7030A0"/>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División de requerimientos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72-4CB1-A7A8-46704D55F5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72-4CB1-A7A8-46704D55F5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'Conceptos técnicos'!$H$3:$H$4</c:f>
              <c:strCache>
                <c:ptCount val="2"/>
                <c:pt idx="0">
                  <c:v>Funcionales</c:v>
                </c:pt>
                <c:pt idx="1">
                  <c:v>No Funcionales</c:v>
                </c:pt>
              </c:strCache>
            </c:strRef>
          </c:cat>
          <c:val>
            <c:numRef>
              <c:f>'Conceptos técnicos'!$I$3:$I$4</c:f>
              <c:numCache>
                <c:formatCode>General</c:formatCode>
                <c:ptCount val="2"/>
                <c:pt idx="0">
                  <c:v>208</c:v>
                </c:pt>
                <c:pt idx="1">
                  <c:v>224</c:v>
                </c:pt>
              </c:numCache>
            </c:numRef>
          </c:val>
          <c:extLst>
            <c:ext xmlns:c16="http://schemas.microsoft.com/office/drawing/2014/chart" uri="{C3380CC4-5D6E-409C-BE32-E72D297353CC}">
              <c16:uniqueId val="{00000001-9E49-420B-B1EF-2B1668F7C5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Nivel de cumplimiento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9-48EA-A710-ED61FB5B07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9-48EA-A710-ED61FB5B07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'Conceptos técnicos'!$H$5:$H$6</c:f>
              <c:strCache>
                <c:ptCount val="2"/>
                <c:pt idx="0">
                  <c:v>TOTALES</c:v>
                </c:pt>
                <c:pt idx="1">
                  <c:v>Cumplidos</c:v>
                </c:pt>
              </c:strCache>
            </c:strRef>
          </c:cat>
          <c:val>
            <c:numRef>
              <c:f>'Conceptos técnicos'!$I$5:$I$6</c:f>
              <c:numCache>
                <c:formatCode>General</c:formatCode>
                <c:ptCount val="2"/>
                <c:pt idx="0">
                  <c:v>432</c:v>
                </c:pt>
                <c:pt idx="1">
                  <c:v>138</c:v>
                </c:pt>
              </c:numCache>
            </c:numRef>
          </c:val>
          <c:extLst>
            <c:ext xmlns:c16="http://schemas.microsoft.com/office/drawing/2014/chart" uri="{C3380CC4-5D6E-409C-BE32-E72D297353CC}">
              <c16:uniqueId val="{00000001-50BE-4D6C-B09D-8AEA43AB84E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609600</xdr:colOff>
      <xdr:row>0</xdr:row>
      <xdr:rowOff>161925</xdr:rowOff>
    </xdr:from>
    <xdr:to>
      <xdr:col>13</xdr:col>
      <xdr:colOff>95250</xdr:colOff>
      <xdr:row>5</xdr:row>
      <xdr:rowOff>133350</xdr:rowOff>
    </xdr:to>
    <xdr:graphicFrame macro="">
      <xdr:nvGraphicFramePr>
        <xdr:cNvPr id="3" name="Gráfico 2">
          <a:extLst>
            <a:ext uri="{FF2B5EF4-FFF2-40B4-BE49-F238E27FC236}">
              <a16:creationId xmlns:a16="http://schemas.microsoft.com/office/drawing/2014/main" id="{B34FCC0C-A205-704F-9357-DAAD74C4E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628650</xdr:colOff>
      <xdr:row>5</xdr:row>
      <xdr:rowOff>180975</xdr:rowOff>
    </xdr:from>
    <xdr:to>
      <xdr:col>13</xdr:col>
      <xdr:colOff>123825</xdr:colOff>
      <xdr:row>9</xdr:row>
      <xdr:rowOff>352425</xdr:rowOff>
    </xdr:to>
    <xdr:graphicFrame macro="">
      <xdr:nvGraphicFramePr>
        <xdr:cNvPr id="4" name="Gráfico 3">
          <a:extLst>
            <a:ext uri="{FF2B5EF4-FFF2-40B4-BE49-F238E27FC236}">
              <a16:creationId xmlns:a16="http://schemas.microsoft.com/office/drawing/2014/main" id="{9A86A39A-06E2-A094-13BB-B4551698B2AB}"/>
            </a:ext>
            <a:ext uri="{147F2762-F138-4A5C-976F-8EAC2B608ADB}">
              <a16:predDERef xmlns:a16="http://schemas.microsoft.com/office/drawing/2014/main" pred="{B34FCC0C-A205-704F-9357-DAAD74C4E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D94B-208D-4E5F-AA04-80BE8B21E6BD}">
  <sheetPr>
    <tabColor theme="1"/>
  </sheetPr>
  <dimension ref="B2:L77"/>
  <sheetViews>
    <sheetView topLeftCell="A3" workbookViewId="0">
      <selection activeCell="I7" sqref="I7"/>
    </sheetView>
  </sheetViews>
  <sheetFormatPr defaultColWidth="11.42578125" defaultRowHeight="15"/>
  <cols>
    <col min="4" max="4" width="103.140625" customWidth="1"/>
    <col min="6" max="6" width="14.140625" bestFit="1" customWidth="1"/>
    <col min="7" max="7" width="14.5703125" bestFit="1" customWidth="1"/>
    <col min="8" max="8" width="25.5703125" bestFit="1" customWidth="1"/>
  </cols>
  <sheetData>
    <row r="2" spans="2:12" ht="18.75">
      <c r="B2" s="131" t="s">
        <v>0</v>
      </c>
      <c r="C2" s="132"/>
      <c r="D2" s="130" t="s">
        <v>1</v>
      </c>
      <c r="H2" s="167" t="s">
        <v>2</v>
      </c>
      <c r="I2" s="168"/>
    </row>
    <row r="3" spans="2:12" ht="45.75">
      <c r="B3" s="171" t="s">
        <v>3</v>
      </c>
      <c r="C3" s="172"/>
      <c r="D3" s="122" t="s">
        <v>4</v>
      </c>
      <c r="G3" s="169" t="s">
        <v>5</v>
      </c>
      <c r="H3" s="51" t="s">
        <v>6</v>
      </c>
      <c r="I3" s="51">
        <f>COUNT('Funcionales generales'!B12:D99,'Funcionales DB'!B12:D99,'Funcionales synkro'!B12:B149,'Funcionales Home'!B12:B100,'Funcionales Shop'!B13:B100,'Funcionales Producto'!B13:B100,'Funcionales Carrito'!B13:B100,'Funcionales Checkout'!B13:B100,'Funcionales Ordenes'!B13:B100,'Funcionales Favoritos'!B13:B100,'Funcionales Dashboard Admin'!B13:B100,'Funcionales Gestión Productos'!B12:B100,'Funcionales Gestión Categorías'!B12:B100,'Funcionales Gestión Usuarios'!B12:B100,'Funcionales Gestión Descuentos'!B12:B100,'Funcionales Autenticación'!B12:B100,'Funcionales Pasarela de Pago'!B12:B100,'Funcionales Notificaciones'!B12:B100)</f>
        <v>208</v>
      </c>
    </row>
    <row r="4" spans="2:12" ht="45.75">
      <c r="B4" s="159" t="s">
        <v>7</v>
      </c>
      <c r="C4" s="160"/>
      <c r="D4" s="123" t="s">
        <v>8</v>
      </c>
      <c r="G4" s="170"/>
      <c r="H4" s="51" t="s">
        <v>9</v>
      </c>
      <c r="I4" s="51">
        <f>COUNT('No funcionales generales'!B12:D148,'No funcionales DB'!B12:D99,'No funcionales synkro'!B12:D147,'No Funcionales Home'!B12:B100,'No Funcionales Shop'!B13:B100,'No Funcionales Producto'!B13:B100,'No Funcionales Carrito'!B13:B100,'No Funcionales Checkout '!B13:B100,'No Funcionales Ordenes'!B13:B100,'No Funcionales Favoritos'!B13:B100,'No Funcionales Dashboard Admin'!B13:B100,'NoFuncionales Gestión Productos'!B12:B100,'No Funcional Gestión Categoria'!B12:B100,'No Funcionales Gestión Descuen'!B12:B100,'No Funcionales Autenticación'!B12:B100)</f>
        <v>224</v>
      </c>
    </row>
    <row r="5" spans="2:12" ht="76.5">
      <c r="B5" s="159" t="s">
        <v>10</v>
      </c>
      <c r="C5" s="160"/>
      <c r="D5" s="124" t="s">
        <v>11</v>
      </c>
      <c r="G5" s="170"/>
      <c r="H5" s="51" t="s">
        <v>12</v>
      </c>
      <c r="I5" s="51">
        <f>COUNT('No funcionales generales'!B12:D148,'Funcionales generales'!B12:D99,'No funcionales DB'!B12:D99,'Funcionales DB'!B12:D99,'No funcionales synkro'!B12:D147,'Funcionales synkro'!B12:B149,'Funcionales Home'!B12:B100,'No Funcionales Home'!B12:B100,'Funcionales Shop'!B13:B100,'No Funcionales Shop'!B13:B100,'Funcionales Producto'!B13:B100,'No Funcionales Producto'!B13:B100,'Funcionales Carrito'!B13:B100,'No Funcionales Carrito'!B13:B100,'Funcionales Checkout'!B13:B100,'No Funcionales Checkout '!B13:B100,'Funcionales Ordenes'!B13:B100,'No Funcionales Ordenes'!B13:B100,'Funcionales Favoritos'!B13:B100,'No Funcionales Favoritos'!B13:B100,'Funcionales Dashboard Admin'!B13:B100,'No Funcionales Dashboard Admin'!B13:B100,'Funcionales Gestión Productos'!B12:B100,'NoFuncionales Gestión Productos'!B12:B100,'Funcionales Gestión Categorías'!B12:B100,'No Funcional Gestión Categoria'!B12:B100,'Funcionales Gestión Usuarios'!B12:B100,'Funcionales Gestión Descuentos'!B12:B100,'No Funcionales Gestión Descuen'!B12:B100,'Funcionales Autenticación'!B12:B100,'No Funcionales Autenticación'!B12:B100,'Funcionales Pasarela de Pago'!B12:B100,'Funcionales Notificaciones'!B12:B100)</f>
        <v>432</v>
      </c>
    </row>
    <row r="6" spans="2:12" s="21" customFormat="1" ht="48" customHeight="1">
      <c r="B6" s="161" t="s">
        <v>13</v>
      </c>
      <c r="C6" s="162"/>
      <c r="D6" s="125" t="s">
        <v>14</v>
      </c>
      <c r="E6" s="126"/>
      <c r="F6" s="126"/>
      <c r="H6" s="128" t="s">
        <v>15</v>
      </c>
      <c r="I6" s="133">
        <f>COUNTIF('No funcionales generales'!F12:F144,"x")+COUNTIF('Funcionales generales'!F149,"x")+COUNTIF('No funcionales DB'!F12:F99,"x")+COUNTIF('Funcionales DB'!F12:F99,"x")+COUNTIF('No funcionales synkro'!F12:F97,"x")+COUNTIF('Funcionales synkro'!F12:F99,"x")+COUNTIF('Funcionales Home'!F12:F50,"x")+COUNTIF('No Funcionales Home'!F12:F100,"x")+COUNTIF('Funcionales Shop'!F12:F100,"x")+COUNTIF('No Funcionales Shop'!F12:F100,"x")+COUNTIF('Funcionales Producto'!F12:F100,"x")+COUNTIF('No Funcionales Producto'!F12:F100,"x")+COUNTIF('Funcionales Carrito'!F12:F100,"x")+COUNTIF('No Funcionales Carrito'!F12:F100,"x")+COUNTIF('Funcionales Checkout'!F12:F100,"x")+COUNTIF('No Funcionales Checkout '!F12:F100,"x")+COUNTIF('Funcionales Ordenes'!F12:F100,"x")+COUNTIF('No Funcionales Ordenes'!F12:F100,"x")+COUNTIF('Funcionales Favoritos'!F12:F100,"x")+COUNTIF('No Funcionales Favoritos'!F12:F100,"x")+COUNTIF('Funcionales Dashboard Admin'!F12:F100,"x")+COUNTIF('No Funcionales Dashboard Admin'!F12:F100,"x")+COUNTIF('Funcionales Gestión Productos'!F12:F100,"x")+COUNTIF('NoFuncionales Gestión Productos'!F12:F100,"x")+COUNTIF('Funcionales Gestión Categorías'!F12:F100,"x")+COUNTIF('No Funcional Gestión Categoria'!F12:F100,"x")+COUNTIF('Funcionales Gestión Usuarios'!F12:F100,"x")+COUNTIF('Funcionales Gestión Descuentos'!F12:F100,"x")+COUNTIF('No Funcionales Gestión Descuen'!F12:F100,"x")+COUNTIF('Funcionales Autenticación'!F12:F100,"x")+COUNTIF('No Funcionales Autenticación'!F12:F100,"x")+COUNTIF('Funcionales Pasarela de Pago'!F12:F100,"x")+COUNTIF('Funcionales Notificaciones'!F12:F100,"x")</f>
        <v>138</v>
      </c>
      <c r="J6" s="126"/>
      <c r="K6" s="126"/>
      <c r="L6" s="126"/>
    </row>
    <row r="7" spans="2:12" ht="53.25" customHeight="1">
      <c r="B7" s="163" t="s">
        <v>16</v>
      </c>
      <c r="C7" s="164"/>
      <c r="D7" s="88" t="s">
        <v>17</v>
      </c>
      <c r="H7" s="128" t="s">
        <v>18</v>
      </c>
      <c r="I7" s="138">
        <f>_xlfn.PERCENTOF(I6,I5)</f>
        <v>0.31944444444444442</v>
      </c>
    </row>
    <row r="8" spans="2:12" ht="30.75">
      <c r="B8" s="163" t="s">
        <v>19</v>
      </c>
      <c r="C8" s="164"/>
      <c r="D8" s="89" t="s">
        <v>20</v>
      </c>
      <c r="E8" s="129"/>
      <c r="F8" s="28"/>
      <c r="J8" s="28"/>
      <c r="K8" s="28"/>
      <c r="L8" s="28"/>
    </row>
    <row r="9" spans="2:12" ht="45.75" customHeight="1">
      <c r="B9" s="163" t="s">
        <v>21</v>
      </c>
      <c r="C9" s="164"/>
      <c r="D9" s="90" t="s">
        <v>22</v>
      </c>
      <c r="E9" s="120"/>
      <c r="F9" s="120"/>
      <c r="H9" s="134"/>
      <c r="L9" s="120"/>
    </row>
    <row r="10" spans="2:12" ht="30.75">
      <c r="B10" s="165" t="s">
        <v>23</v>
      </c>
      <c r="C10" s="166"/>
      <c r="D10" s="87" t="s">
        <v>24</v>
      </c>
      <c r="E10" s="120"/>
      <c r="F10" s="120"/>
      <c r="H10" s="121"/>
      <c r="J10" s="120"/>
      <c r="K10" s="120"/>
      <c r="L10" s="120"/>
    </row>
    <row r="11" spans="2:12" ht="30.75">
      <c r="B11" s="165" t="s">
        <v>25</v>
      </c>
      <c r="C11" s="166"/>
      <c r="D11" s="355" t="s">
        <v>26</v>
      </c>
      <c r="E11" s="121"/>
      <c r="F11" s="121"/>
      <c r="G11" s="121"/>
      <c r="H11" s="121"/>
      <c r="I11" s="121"/>
      <c r="J11" s="121"/>
      <c r="K11" s="121"/>
      <c r="L11" s="121"/>
    </row>
    <row r="12" spans="2:12">
      <c r="B12" s="155" t="s">
        <v>27</v>
      </c>
      <c r="C12" s="156"/>
      <c r="D12" s="91" t="s">
        <v>28</v>
      </c>
      <c r="E12" s="121"/>
      <c r="F12" s="121"/>
      <c r="G12" s="121"/>
      <c r="H12" s="356"/>
      <c r="I12" s="121"/>
      <c r="J12" s="121"/>
      <c r="K12" s="121"/>
      <c r="L12" s="121"/>
    </row>
    <row r="13" spans="2:12">
      <c r="B13" s="155" t="s">
        <v>29</v>
      </c>
      <c r="C13" s="156"/>
      <c r="D13" s="91" t="s">
        <v>30</v>
      </c>
      <c r="E13" s="356"/>
      <c r="F13" s="356"/>
      <c r="G13" s="356"/>
      <c r="H13" s="356"/>
      <c r="I13" s="356"/>
      <c r="J13" s="356"/>
      <c r="K13" s="356"/>
      <c r="L13" s="356"/>
    </row>
    <row r="14" spans="2:12">
      <c r="B14" s="155" t="s">
        <v>31</v>
      </c>
      <c r="C14" s="156"/>
      <c r="D14" s="91" t="s">
        <v>32</v>
      </c>
      <c r="E14" s="356"/>
      <c r="F14" s="356"/>
      <c r="G14" s="356"/>
      <c r="H14" s="356"/>
      <c r="I14" s="356"/>
      <c r="J14" s="356"/>
      <c r="K14" s="356"/>
      <c r="L14" s="356"/>
    </row>
    <row r="15" spans="2:12">
      <c r="B15" s="155" t="s">
        <v>33</v>
      </c>
      <c r="C15" s="156"/>
      <c r="D15" s="91" t="s">
        <v>34</v>
      </c>
      <c r="E15" s="356"/>
      <c r="F15" s="356"/>
      <c r="G15" s="356"/>
      <c r="H15" s="356"/>
      <c r="I15" s="356"/>
      <c r="J15" s="356"/>
      <c r="K15" s="356"/>
      <c r="L15" s="356"/>
    </row>
    <row r="16" spans="2:12">
      <c r="B16" s="155" t="s">
        <v>35</v>
      </c>
      <c r="C16" s="156"/>
      <c r="D16" s="91" t="s">
        <v>36</v>
      </c>
      <c r="E16" s="356"/>
      <c r="F16" s="356"/>
      <c r="G16" s="356"/>
      <c r="H16" s="356"/>
      <c r="I16" s="356"/>
      <c r="J16" s="356"/>
      <c r="K16" s="356"/>
      <c r="L16" s="356"/>
    </row>
    <row r="17" spans="2:12">
      <c r="B17" s="155" t="s">
        <v>37</v>
      </c>
      <c r="C17" s="156"/>
      <c r="D17" s="91" t="s">
        <v>38</v>
      </c>
      <c r="E17" s="356"/>
      <c r="F17" s="356"/>
      <c r="G17" s="356"/>
      <c r="H17" s="357"/>
      <c r="I17" s="356"/>
      <c r="J17" s="356"/>
      <c r="K17" s="356"/>
      <c r="L17" s="356"/>
    </row>
    <row r="18" spans="2:12">
      <c r="B18" s="155" t="s">
        <v>39</v>
      </c>
      <c r="C18" s="156"/>
      <c r="D18" s="91" t="s">
        <v>40</v>
      </c>
      <c r="E18" s="357"/>
      <c r="F18" s="357"/>
      <c r="G18" s="357"/>
      <c r="H18" s="357"/>
      <c r="I18" s="357"/>
      <c r="J18" s="357"/>
      <c r="K18" s="357"/>
      <c r="L18" s="357"/>
    </row>
    <row r="19" spans="2:12">
      <c r="B19" s="155" t="s">
        <v>41</v>
      </c>
      <c r="C19" s="156"/>
      <c r="D19" s="91" t="s">
        <v>42</v>
      </c>
      <c r="E19" s="357"/>
      <c r="F19" s="357"/>
      <c r="G19" s="357"/>
      <c r="H19" s="357"/>
      <c r="I19" s="357"/>
      <c r="J19" s="357"/>
      <c r="K19" s="357"/>
      <c r="L19" s="357"/>
    </row>
    <row r="20" spans="2:12" ht="60.75">
      <c r="B20" s="157" t="s">
        <v>43</v>
      </c>
      <c r="C20" s="158"/>
      <c r="D20" s="140" t="s">
        <v>44</v>
      </c>
      <c r="E20" s="357"/>
      <c r="F20" s="357"/>
      <c r="G20" s="357"/>
      <c r="H20" s="357"/>
      <c r="I20" s="357"/>
      <c r="J20" s="357"/>
      <c r="K20" s="357"/>
      <c r="L20" s="357"/>
    </row>
    <row r="21" spans="2:12" ht="30.75">
      <c r="B21" s="147" t="s">
        <v>45</v>
      </c>
      <c r="C21" s="154"/>
      <c r="D21" s="141" t="s">
        <v>46</v>
      </c>
      <c r="E21" s="121"/>
      <c r="F21" s="357"/>
      <c r="G21" s="357"/>
      <c r="H21" s="357"/>
      <c r="I21" s="357"/>
      <c r="J21" s="357"/>
      <c r="K21" s="357"/>
      <c r="L21" s="357"/>
    </row>
    <row r="22" spans="2:12">
      <c r="B22" s="147" t="s">
        <v>47</v>
      </c>
      <c r="C22" s="148"/>
      <c r="D22" s="54"/>
      <c r="E22" s="357"/>
      <c r="F22" s="357"/>
      <c r="G22" s="357"/>
      <c r="H22" s="357"/>
      <c r="I22" s="357"/>
      <c r="J22" s="357"/>
      <c r="K22" s="357"/>
      <c r="L22" s="357"/>
    </row>
    <row r="23" spans="2:12">
      <c r="B23" s="147" t="s">
        <v>48</v>
      </c>
      <c r="C23" s="148"/>
      <c r="D23" s="54"/>
      <c r="E23" s="357"/>
      <c r="F23" s="357"/>
      <c r="G23" s="357"/>
      <c r="H23" s="357"/>
      <c r="I23" s="357"/>
      <c r="J23" s="357"/>
      <c r="K23" s="357"/>
      <c r="L23" s="357"/>
    </row>
    <row r="24" spans="2:12">
      <c r="B24" s="147" t="s">
        <v>49</v>
      </c>
      <c r="C24" s="148"/>
      <c r="D24" s="54"/>
      <c r="E24" s="357"/>
      <c r="F24" s="357"/>
      <c r="G24" s="357"/>
      <c r="H24" s="357"/>
      <c r="I24" s="357"/>
      <c r="J24" s="357"/>
      <c r="K24" s="357"/>
      <c r="L24" s="357"/>
    </row>
    <row r="25" spans="2:12">
      <c r="B25" s="147" t="s">
        <v>50</v>
      </c>
      <c r="C25" s="148"/>
      <c r="D25" s="54"/>
      <c r="E25" s="357"/>
      <c r="F25" s="357"/>
      <c r="G25" s="357"/>
      <c r="H25" s="357"/>
      <c r="I25" s="357"/>
      <c r="J25" s="357"/>
      <c r="K25" s="357"/>
      <c r="L25" s="357"/>
    </row>
    <row r="26" spans="2:12">
      <c r="B26" s="147" t="s">
        <v>51</v>
      </c>
      <c r="C26" s="148"/>
      <c r="D26" s="54"/>
      <c r="E26" s="357"/>
      <c r="F26" s="357"/>
      <c r="G26" s="357"/>
      <c r="I26" s="357"/>
      <c r="J26" s="357"/>
      <c r="K26" s="357"/>
      <c r="L26" s="357"/>
    </row>
    <row r="27" spans="2:12">
      <c r="B27" s="147" t="s">
        <v>52</v>
      </c>
      <c r="C27" s="148"/>
      <c r="D27" s="54"/>
    </row>
    <row r="28" spans="2:12">
      <c r="B28" s="147" t="s">
        <v>53</v>
      </c>
      <c r="C28" s="148"/>
      <c r="D28" s="54"/>
    </row>
    <row r="29" spans="2:12">
      <c r="B29" s="147" t="s">
        <v>54</v>
      </c>
      <c r="C29" s="148"/>
      <c r="D29" s="54"/>
    </row>
    <row r="30" spans="2:12">
      <c r="B30" s="147" t="s">
        <v>55</v>
      </c>
      <c r="C30" s="148"/>
      <c r="D30" s="54"/>
    </row>
    <row r="31" spans="2:12">
      <c r="B31" s="149" t="s">
        <v>56</v>
      </c>
      <c r="C31" s="150"/>
      <c r="D31" s="54"/>
    </row>
    <row r="32" spans="2:12">
      <c r="B32" s="153" t="s">
        <v>56</v>
      </c>
      <c r="C32" s="148"/>
      <c r="D32" s="54"/>
    </row>
    <row r="33" spans="2:4">
      <c r="B33" s="149" t="s">
        <v>57</v>
      </c>
      <c r="C33" s="150"/>
      <c r="D33" s="54"/>
    </row>
    <row r="34" spans="2:4">
      <c r="B34" s="147" t="s">
        <v>58</v>
      </c>
      <c r="C34" s="148"/>
      <c r="D34" s="54"/>
    </row>
    <row r="35" spans="2:4">
      <c r="B35" s="149" t="s">
        <v>59</v>
      </c>
      <c r="C35" s="150"/>
      <c r="D35" s="54"/>
    </row>
    <row r="36" spans="2:4">
      <c r="B36" s="147" t="s">
        <v>60</v>
      </c>
      <c r="C36" s="148"/>
      <c r="D36" s="54"/>
    </row>
    <row r="37" spans="2:4">
      <c r="B37" s="149" t="s">
        <v>61</v>
      </c>
      <c r="C37" s="150"/>
      <c r="D37" s="54"/>
    </row>
    <row r="38" spans="2:4">
      <c r="B38" s="147" t="s">
        <v>62</v>
      </c>
      <c r="C38" s="148"/>
      <c r="D38" s="54"/>
    </row>
    <row r="39" spans="2:4">
      <c r="B39" s="149" t="s">
        <v>63</v>
      </c>
      <c r="C39" s="150"/>
      <c r="D39" s="54"/>
    </row>
    <row r="40" spans="2:4">
      <c r="B40" s="147" t="s">
        <v>64</v>
      </c>
      <c r="C40" s="148"/>
      <c r="D40" s="54"/>
    </row>
    <row r="41" spans="2:4">
      <c r="B41" s="149" t="s">
        <v>65</v>
      </c>
      <c r="C41" s="150"/>
      <c r="D41" s="54"/>
    </row>
    <row r="42" spans="2:4">
      <c r="B42" s="147"/>
      <c r="C42" s="148"/>
      <c r="D42" s="54"/>
    </row>
    <row r="43" spans="2:4">
      <c r="B43" s="149"/>
      <c r="C43" s="150"/>
      <c r="D43" s="54"/>
    </row>
    <row r="44" spans="2:4">
      <c r="B44" s="147"/>
      <c r="C44" s="148"/>
      <c r="D44" s="54"/>
    </row>
    <row r="45" spans="2:4">
      <c r="B45" s="149"/>
      <c r="C45" s="150"/>
      <c r="D45" s="54"/>
    </row>
    <row r="46" spans="2:4">
      <c r="B46" s="147"/>
      <c r="C46" s="148"/>
      <c r="D46" s="54"/>
    </row>
    <row r="47" spans="2:4">
      <c r="B47" s="149"/>
      <c r="C47" s="150"/>
      <c r="D47" s="54"/>
    </row>
    <row r="48" spans="2:4">
      <c r="B48" s="147"/>
      <c r="C48" s="148"/>
      <c r="D48" s="54"/>
    </row>
    <row r="49" spans="2:4">
      <c r="B49" s="151"/>
      <c r="C49" s="152"/>
      <c r="D49" s="54"/>
    </row>
    <row r="50" spans="2:4">
      <c r="B50" s="147"/>
      <c r="C50" s="148"/>
      <c r="D50" s="54"/>
    </row>
    <row r="51" spans="2:4">
      <c r="B51" s="147"/>
      <c r="C51" s="148"/>
      <c r="D51" s="54"/>
    </row>
    <row r="52" spans="2:4">
      <c r="B52" s="147"/>
      <c r="C52" s="148"/>
      <c r="D52" s="54"/>
    </row>
    <row r="53" spans="2:4">
      <c r="B53" s="147"/>
      <c r="C53" s="148"/>
      <c r="D53" s="54"/>
    </row>
    <row r="54" spans="2:4">
      <c r="B54" s="147"/>
      <c r="C54" s="148"/>
      <c r="D54" s="54"/>
    </row>
    <row r="55" spans="2:4">
      <c r="B55" s="147"/>
      <c r="C55" s="148"/>
      <c r="D55" s="54"/>
    </row>
    <row r="56" spans="2:4">
      <c r="B56" s="147"/>
      <c r="C56" s="148"/>
      <c r="D56" s="54"/>
    </row>
    <row r="57" spans="2:4">
      <c r="B57" s="147"/>
      <c r="C57" s="148"/>
      <c r="D57" s="54"/>
    </row>
    <row r="58" spans="2:4">
      <c r="B58" s="147"/>
      <c r="C58" s="148"/>
      <c r="D58" s="54"/>
    </row>
    <row r="59" spans="2:4">
      <c r="B59" s="147"/>
      <c r="C59" s="148"/>
      <c r="D59" s="54"/>
    </row>
    <row r="60" spans="2:4">
      <c r="B60" s="147"/>
      <c r="C60" s="148"/>
      <c r="D60" s="54"/>
    </row>
    <row r="61" spans="2:4">
      <c r="B61" s="147"/>
      <c r="C61" s="148"/>
      <c r="D61" s="54"/>
    </row>
    <row r="62" spans="2:4">
      <c r="B62" s="147"/>
      <c r="C62" s="148"/>
      <c r="D62" s="54"/>
    </row>
    <row r="63" spans="2:4">
      <c r="B63" s="147"/>
      <c r="C63" s="148"/>
      <c r="D63" s="54"/>
    </row>
    <row r="64" spans="2:4">
      <c r="B64" s="147"/>
      <c r="C64" s="148"/>
      <c r="D64" s="54"/>
    </row>
    <row r="65" spans="2:4">
      <c r="B65" s="147"/>
      <c r="C65" s="148"/>
      <c r="D65" s="54"/>
    </row>
    <row r="66" spans="2:4">
      <c r="B66" s="147"/>
      <c r="C66" s="148"/>
      <c r="D66" s="54"/>
    </row>
    <row r="67" spans="2:4">
      <c r="B67" s="147"/>
      <c r="C67" s="148"/>
      <c r="D67" s="54"/>
    </row>
    <row r="68" spans="2:4">
      <c r="B68" s="147"/>
      <c r="C68" s="148"/>
      <c r="D68" s="54"/>
    </row>
    <row r="69" spans="2:4">
      <c r="B69" s="147"/>
      <c r="C69" s="148"/>
      <c r="D69" s="54"/>
    </row>
    <row r="70" spans="2:4">
      <c r="B70" s="147"/>
      <c r="C70" s="148"/>
      <c r="D70" s="54"/>
    </row>
    <row r="71" spans="2:4">
      <c r="B71" s="147"/>
      <c r="C71" s="148"/>
      <c r="D71" s="54"/>
    </row>
    <row r="72" spans="2:4">
      <c r="B72" s="147"/>
      <c r="C72" s="148"/>
      <c r="D72" s="54"/>
    </row>
    <row r="73" spans="2:4">
      <c r="B73" s="147"/>
      <c r="C73" s="148"/>
      <c r="D73" s="54"/>
    </row>
    <row r="74" spans="2:4">
      <c r="B74" s="147"/>
      <c r="C74" s="148"/>
      <c r="D74" s="54"/>
    </row>
    <row r="75" spans="2:4">
      <c r="B75" s="147"/>
      <c r="C75" s="148"/>
      <c r="D75" s="54"/>
    </row>
    <row r="76" spans="2:4">
      <c r="B76" s="147"/>
      <c r="C76" s="148"/>
      <c r="D76" s="54"/>
    </row>
    <row r="77" spans="2:4">
      <c r="B77" s="147"/>
      <c r="C77" s="148"/>
    </row>
  </sheetData>
  <mergeCells count="77">
    <mergeCell ref="H2:I2"/>
    <mergeCell ref="B8:C8"/>
    <mergeCell ref="B9:C9"/>
    <mergeCell ref="B10:C10"/>
    <mergeCell ref="B13:C13"/>
    <mergeCell ref="G3:G5"/>
    <mergeCell ref="B3:C3"/>
    <mergeCell ref="B14:C14"/>
    <mergeCell ref="B12:C12"/>
    <mergeCell ref="B4:C4"/>
    <mergeCell ref="B5:C5"/>
    <mergeCell ref="B6:C6"/>
    <mergeCell ref="B7:C7"/>
    <mergeCell ref="B11:C11"/>
    <mergeCell ref="B17:C17"/>
    <mergeCell ref="B18:C18"/>
    <mergeCell ref="B19:C19"/>
    <mergeCell ref="B20:C20"/>
    <mergeCell ref="B15:C15"/>
    <mergeCell ref="B16:C16"/>
    <mergeCell ref="B21:C21"/>
    <mergeCell ref="B22:C22"/>
    <mergeCell ref="B23:C23"/>
    <mergeCell ref="B24:C24"/>
    <mergeCell ref="B25:C25"/>
    <mergeCell ref="B26:C26"/>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7:C47"/>
    <mergeCell ref="B48:C48"/>
    <mergeCell ref="B49:C49"/>
    <mergeCell ref="B50:C50"/>
    <mergeCell ref="B42:C42"/>
    <mergeCell ref="B43:C43"/>
    <mergeCell ref="B44:C44"/>
    <mergeCell ref="B45:C45"/>
    <mergeCell ref="B46:C46"/>
    <mergeCell ref="B64:C64"/>
    <mergeCell ref="B65:C65"/>
    <mergeCell ref="B57:C57"/>
    <mergeCell ref="B51:C51"/>
    <mergeCell ref="B58:C58"/>
    <mergeCell ref="B59:C59"/>
    <mergeCell ref="B60:C60"/>
    <mergeCell ref="B52:C52"/>
    <mergeCell ref="B53:C53"/>
    <mergeCell ref="B54:C54"/>
    <mergeCell ref="B55:C55"/>
    <mergeCell ref="B56:C56"/>
    <mergeCell ref="B76:C76"/>
    <mergeCell ref="B77:C77"/>
    <mergeCell ref="B27:C27"/>
    <mergeCell ref="B71:C71"/>
    <mergeCell ref="B72:C72"/>
    <mergeCell ref="B73:C73"/>
    <mergeCell ref="B74:C74"/>
    <mergeCell ref="B75:C75"/>
    <mergeCell ref="B66:C66"/>
    <mergeCell ref="B67:C67"/>
    <mergeCell ref="B68:C68"/>
    <mergeCell ref="B69:C69"/>
    <mergeCell ref="B70:C70"/>
    <mergeCell ref="B61:C61"/>
    <mergeCell ref="B62:C62"/>
    <mergeCell ref="B63:C63"/>
  </mergeCells>
  <conditionalFormatting sqref="H7">
    <cfRule type="dataBar" priority="6">
      <dataBar>
        <cfvo type="min"/>
        <cfvo type="max"/>
        <color rgb="FF008AEF"/>
      </dataBar>
      <extLst>
        <ext xmlns:x14="http://schemas.microsoft.com/office/spreadsheetml/2009/9/main" uri="{B025F937-C7B1-47D3-B67F-A62EFF666E3E}">
          <x14:id>{C6894552-232C-483D-B083-B0B5815392E9}</x14:id>
        </ext>
      </extLst>
    </cfRule>
  </conditionalFormatting>
  <conditionalFormatting sqref="H5:H6">
    <cfRule type="colorScale" priority="5">
      <colorScale>
        <cfvo type="min"/>
        <cfvo type="percentile" val="50"/>
        <cfvo type="max"/>
        <color rgb="FFF8696B"/>
        <color rgb="FFFFEB84"/>
        <color rgb="FF63BE7B"/>
      </colorScale>
    </cfRule>
  </conditionalFormatting>
  <conditionalFormatting sqref="H9">
    <cfRule type="dataBar" priority="2">
      <dataBar>
        <cfvo type="min"/>
        <cfvo type="max"/>
        <color rgb="FF008AEF"/>
      </dataBar>
      <extLst>
        <ext xmlns:x14="http://schemas.microsoft.com/office/spreadsheetml/2009/9/main" uri="{B025F937-C7B1-47D3-B67F-A62EFF666E3E}">
          <x14:id>{401D8260-3BAA-404F-9087-014AD8856F16}</x14:id>
        </ext>
      </extLst>
    </cfRule>
  </conditionalFormatting>
  <conditionalFormatting sqref="H9">
    <cfRule type="dataBar" priority="1">
      <dataBar>
        <cfvo type="min"/>
        <cfvo type="max"/>
        <color rgb="FF638EC6"/>
      </dataBar>
      <extLst>
        <ext xmlns:x14="http://schemas.microsoft.com/office/spreadsheetml/2009/9/main" uri="{B025F937-C7B1-47D3-B67F-A62EFF666E3E}">
          <x14:id>{0647252C-5DF0-4A70-B5ED-9B2A921FD51F}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6894552-232C-483D-B083-B0B5815392E9}">
            <x14:dataBar minLength="0" maxLength="100" gradient="0">
              <x14:cfvo type="autoMin"/>
              <x14:cfvo type="autoMax"/>
              <x14:negativeFillColor rgb="FFFF0000"/>
              <x14:axisColor rgb="FF000000"/>
            </x14:dataBar>
          </x14:cfRule>
          <xm:sqref>H7</xm:sqref>
        </x14:conditionalFormatting>
        <x14:conditionalFormatting xmlns:xm="http://schemas.microsoft.com/office/excel/2006/main">
          <x14:cfRule type="dataBar" id="{401D8260-3BAA-404F-9087-014AD8856F16}">
            <x14:dataBar minLength="0" maxLength="100" border="1" negativeBarBorderColorSameAsPositive="0">
              <x14:cfvo type="autoMin"/>
              <x14:cfvo type="autoMax"/>
              <x14:borderColor rgb="FF008AEF"/>
              <x14:negativeFillColor rgb="FFFF0000"/>
              <x14:negativeBorderColor rgb="FFFF0000"/>
              <x14:axisColor rgb="FF000000"/>
            </x14:dataBar>
          </x14:cfRule>
          <xm:sqref>H9</xm:sqref>
        </x14:conditionalFormatting>
        <x14:conditionalFormatting xmlns:xm="http://schemas.microsoft.com/office/excel/2006/main">
          <x14:cfRule type="dataBar" id="{0647252C-5DF0-4A70-B5ED-9B2A921FD51F}">
            <x14:dataBar minLength="0" maxLength="100" gradient="0">
              <x14:cfvo type="autoMin"/>
              <x14:cfvo type="autoMax"/>
              <x14:negativeFillColor rgb="FFFF0000"/>
              <x14:axisColor rgb="FF000000"/>
            </x14:dataBar>
          </x14:cfRule>
          <xm:sqref>H9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0894-25D4-4F32-9274-5909CEB3C9D0}">
  <sheetPr>
    <tabColor rgb="FF375623"/>
  </sheetPr>
  <dimension ref="B2:L42"/>
  <sheetViews>
    <sheetView topLeftCell="I1" workbookViewId="0">
      <selection activeCell="I8" sqref="I8"/>
    </sheetView>
  </sheetViews>
  <sheetFormatPr defaultRowHeight="15"/>
  <cols>
    <col min="2" max="2" width="4.28515625" bestFit="1" customWidth="1"/>
    <col min="4" max="4" width="110.5703125" customWidth="1"/>
    <col min="9" max="9" width="52" customWidth="1"/>
    <col min="11" max="11" width="14.140625" bestFit="1" customWidth="1"/>
  </cols>
  <sheetData>
    <row r="2" spans="2:12" ht="18.75">
      <c r="B2" s="180" t="s">
        <v>66</v>
      </c>
      <c r="C2" s="181"/>
      <c r="D2" s="181"/>
      <c r="E2" s="181"/>
      <c r="F2" s="181"/>
      <c r="G2" s="181"/>
      <c r="H2" s="181"/>
      <c r="I2" s="181"/>
      <c r="K2" s="178" t="s">
        <v>2</v>
      </c>
      <c r="L2" s="179"/>
    </row>
    <row r="3" spans="2:12">
      <c r="B3" s="4"/>
      <c r="C3" s="4"/>
      <c r="D3" s="4"/>
      <c r="K3" s="54" t="s">
        <v>67</v>
      </c>
      <c r="L3" s="57">
        <f>COUNT(B12:D99)</f>
        <v>14</v>
      </c>
    </row>
    <row r="4" spans="2:12" ht="15.75">
      <c r="B4" s="17" t="s">
        <v>68</v>
      </c>
      <c r="C4" s="358" t="s">
        <v>69</v>
      </c>
      <c r="D4" s="358"/>
      <c r="K4" s="54" t="s">
        <v>15</v>
      </c>
      <c r="L4" s="57">
        <f>COUNTIF(F12:F99,"X")</f>
        <v>0</v>
      </c>
    </row>
    <row r="5" spans="2:12" ht="15.75">
      <c r="B5" s="17" t="s">
        <v>70</v>
      </c>
      <c r="C5" s="358" t="s">
        <v>71</v>
      </c>
      <c r="D5" s="358"/>
    </row>
    <row r="6" spans="2:12" ht="15.75">
      <c r="B6" s="17" t="s">
        <v>72</v>
      </c>
      <c r="C6" s="358" t="s">
        <v>73</v>
      </c>
      <c r="D6" s="358"/>
      <c r="K6" s="54" t="s">
        <v>74</v>
      </c>
      <c r="L6" s="127">
        <f>_xlfn.PERCENTOF(L4,L3)</f>
        <v>0</v>
      </c>
    </row>
    <row r="7" spans="2:12" ht="15.75">
      <c r="B7" s="182" t="s">
        <v>75</v>
      </c>
      <c r="C7" s="182"/>
      <c r="D7" s="18" t="s">
        <v>76</v>
      </c>
    </row>
    <row r="9" spans="2:12">
      <c r="F9" s="183" t="s">
        <v>77</v>
      </c>
      <c r="G9" s="184"/>
      <c r="H9" s="185"/>
      <c r="I9" s="186" t="s">
        <v>78</v>
      </c>
    </row>
    <row r="10" spans="2:12" ht="18.75">
      <c r="B10" s="187" t="s">
        <v>79</v>
      </c>
      <c r="C10" s="188"/>
      <c r="D10" s="188"/>
      <c r="E10" s="1"/>
      <c r="F10" s="14" t="s">
        <v>68</v>
      </c>
      <c r="G10" s="15" t="s">
        <v>70</v>
      </c>
      <c r="H10" s="15" t="s">
        <v>72</v>
      </c>
      <c r="I10" s="186"/>
      <c r="K10" s="119"/>
    </row>
    <row r="11" spans="2:12">
      <c r="B11" s="35"/>
      <c r="C11" s="359"/>
      <c r="D11" s="359"/>
      <c r="I11" s="55"/>
    </row>
    <row r="12" spans="2:12" ht="34.5" customHeight="1">
      <c r="B12" s="38">
        <v>1</v>
      </c>
      <c r="C12" s="175" t="s">
        <v>80</v>
      </c>
      <c r="D12" s="175"/>
      <c r="E12" s="2"/>
      <c r="F12" s="51"/>
      <c r="G12" s="51"/>
      <c r="H12" s="51" t="s">
        <v>81</v>
      </c>
      <c r="I12" s="54"/>
    </row>
    <row r="13" spans="2:12" ht="18.75">
      <c r="B13" s="38">
        <v>2</v>
      </c>
      <c r="C13" s="175" t="s">
        <v>82</v>
      </c>
      <c r="D13" s="175"/>
      <c r="E13" s="2"/>
      <c r="F13" s="51"/>
      <c r="G13" s="51"/>
      <c r="H13" s="51" t="s">
        <v>81</v>
      </c>
      <c r="I13" s="54"/>
    </row>
    <row r="14" spans="2:12" ht="18.75">
      <c r="B14" s="38">
        <v>3</v>
      </c>
      <c r="C14" s="176" t="s">
        <v>83</v>
      </c>
      <c r="D14" s="176"/>
      <c r="E14" s="2"/>
      <c r="F14" s="51"/>
      <c r="G14" s="51"/>
      <c r="H14" s="51" t="s">
        <v>81</v>
      </c>
      <c r="I14" s="54"/>
    </row>
    <row r="15" spans="2:12" ht="18.75">
      <c r="B15" s="38">
        <v>4</v>
      </c>
      <c r="C15" s="177" t="s">
        <v>84</v>
      </c>
      <c r="D15" s="177"/>
      <c r="E15" s="2"/>
      <c r="F15" s="51"/>
      <c r="G15" s="51"/>
      <c r="H15" s="51" t="s">
        <v>81</v>
      </c>
      <c r="I15" s="54"/>
    </row>
    <row r="16" spans="2:12" ht="18.75">
      <c r="B16" s="38">
        <v>5</v>
      </c>
      <c r="C16" s="174" t="s">
        <v>85</v>
      </c>
      <c r="D16" s="173"/>
      <c r="E16" s="2"/>
      <c r="F16" s="51"/>
      <c r="G16" s="51"/>
      <c r="H16" s="51" t="s">
        <v>81</v>
      </c>
      <c r="I16" s="54"/>
    </row>
    <row r="17" spans="2:9" ht="18.75" customHeight="1">
      <c r="B17" s="38">
        <v>6</v>
      </c>
      <c r="C17" s="174" t="s">
        <v>86</v>
      </c>
      <c r="D17" s="173"/>
      <c r="F17" s="51"/>
      <c r="G17" s="51"/>
      <c r="H17" s="51" t="s">
        <v>81</v>
      </c>
      <c r="I17" s="54"/>
    </row>
    <row r="18" spans="2:9" ht="18.75">
      <c r="B18" s="38">
        <v>7</v>
      </c>
      <c r="C18" s="174" t="s">
        <v>87</v>
      </c>
      <c r="D18" s="174"/>
      <c r="F18" s="51"/>
      <c r="G18" s="51"/>
      <c r="H18" s="51" t="s">
        <v>81</v>
      </c>
      <c r="I18" s="54"/>
    </row>
    <row r="19" spans="2:9" ht="18.75">
      <c r="B19" s="38">
        <v>8</v>
      </c>
      <c r="C19" s="174" t="s">
        <v>88</v>
      </c>
      <c r="D19" s="173"/>
      <c r="F19" s="51"/>
      <c r="G19" s="51"/>
      <c r="H19" s="51" t="s">
        <v>81</v>
      </c>
      <c r="I19" s="54"/>
    </row>
    <row r="20" spans="2:9" ht="18.75">
      <c r="B20" s="38">
        <v>9</v>
      </c>
      <c r="C20" s="173" t="s">
        <v>89</v>
      </c>
      <c r="D20" s="173"/>
      <c r="F20" s="51"/>
      <c r="G20" s="51"/>
      <c r="H20" s="51" t="s">
        <v>81</v>
      </c>
      <c r="I20" s="54"/>
    </row>
    <row r="21" spans="2:9" ht="18.75">
      <c r="B21" s="38">
        <v>10</v>
      </c>
      <c r="C21" s="173" t="s">
        <v>90</v>
      </c>
      <c r="D21" s="173"/>
      <c r="F21" s="51"/>
      <c r="G21" s="51"/>
      <c r="H21" s="51" t="s">
        <v>81</v>
      </c>
      <c r="I21" s="54"/>
    </row>
    <row r="22" spans="2:9" ht="18.75">
      <c r="B22" s="38">
        <v>11</v>
      </c>
      <c r="C22" s="173" t="s">
        <v>91</v>
      </c>
      <c r="D22" s="173"/>
      <c r="F22" s="51"/>
      <c r="G22" s="51"/>
      <c r="H22" s="51" t="s">
        <v>81</v>
      </c>
      <c r="I22" s="54"/>
    </row>
    <row r="23" spans="2:9" ht="18.75">
      <c r="B23" s="38">
        <v>12</v>
      </c>
      <c r="C23" s="173" t="s">
        <v>92</v>
      </c>
      <c r="D23" s="173"/>
      <c r="F23" s="51"/>
      <c r="G23" s="51"/>
      <c r="H23" s="51" t="s">
        <v>81</v>
      </c>
      <c r="I23" s="54"/>
    </row>
    <row r="24" spans="2:9" ht="18.75">
      <c r="B24" s="38">
        <v>13</v>
      </c>
      <c r="C24" s="173" t="s">
        <v>93</v>
      </c>
      <c r="D24" s="173"/>
      <c r="F24" s="51"/>
      <c r="G24" s="51"/>
      <c r="H24" s="51" t="s">
        <v>81</v>
      </c>
      <c r="I24" s="54"/>
    </row>
    <row r="25" spans="2:9" ht="18.75">
      <c r="B25" s="38">
        <v>14</v>
      </c>
      <c r="C25" s="173" t="s">
        <v>94</v>
      </c>
      <c r="D25" s="173"/>
      <c r="E25" s="142"/>
      <c r="F25" s="51"/>
      <c r="G25" s="51"/>
      <c r="H25" s="51" t="s">
        <v>81</v>
      </c>
      <c r="I25" s="54"/>
    </row>
    <row r="26" spans="2:9" ht="18.75">
      <c r="B26" s="38"/>
      <c r="C26" s="173"/>
      <c r="D26" s="173"/>
      <c r="F26" s="51"/>
      <c r="G26" s="51"/>
      <c r="H26" s="51" t="s">
        <v>81</v>
      </c>
      <c r="I26" s="54"/>
    </row>
    <row r="27" spans="2:9" ht="18.75">
      <c r="B27" s="38"/>
      <c r="C27" s="173"/>
      <c r="D27" s="173"/>
      <c r="F27" s="51"/>
      <c r="G27" s="51"/>
      <c r="H27" s="51" t="s">
        <v>81</v>
      </c>
      <c r="I27" s="54"/>
    </row>
    <row r="28" spans="2:9" ht="18.75">
      <c r="B28" s="38"/>
      <c r="C28" s="173"/>
      <c r="D28" s="173"/>
      <c r="F28" s="51"/>
      <c r="G28" s="51"/>
      <c r="H28" s="51" t="s">
        <v>81</v>
      </c>
      <c r="I28" s="54"/>
    </row>
    <row r="29" spans="2:9" ht="18.75">
      <c r="B29" s="38"/>
      <c r="C29" s="173"/>
      <c r="D29" s="173"/>
      <c r="F29" s="51"/>
      <c r="G29" s="51"/>
      <c r="H29" s="51" t="s">
        <v>81</v>
      </c>
      <c r="I29" s="54"/>
    </row>
    <row r="30" spans="2:9" ht="18.75">
      <c r="B30" s="38"/>
      <c r="C30" s="173"/>
      <c r="D30" s="173"/>
      <c r="F30" s="51"/>
      <c r="G30" s="51"/>
      <c r="H30" s="51" t="s">
        <v>81</v>
      </c>
      <c r="I30" s="54"/>
    </row>
    <row r="31" spans="2:9" ht="18.75">
      <c r="B31" s="38"/>
      <c r="C31" s="173"/>
      <c r="D31" s="173"/>
      <c r="F31" s="51"/>
      <c r="G31" s="51"/>
      <c r="H31" s="51" t="s">
        <v>81</v>
      </c>
      <c r="I31" s="54"/>
    </row>
    <row r="32" spans="2:9" ht="18.75">
      <c r="B32" s="38"/>
      <c r="C32" s="173"/>
      <c r="D32" s="173"/>
      <c r="F32" s="51"/>
      <c r="G32" s="51"/>
      <c r="H32" s="51" t="s">
        <v>81</v>
      </c>
      <c r="I32" s="54"/>
    </row>
    <row r="33" spans="2:9" ht="18.75">
      <c r="B33" s="38"/>
      <c r="C33" s="173"/>
      <c r="D33" s="173"/>
      <c r="F33" s="51"/>
      <c r="G33" s="51"/>
      <c r="H33" s="51" t="s">
        <v>81</v>
      </c>
      <c r="I33" s="54"/>
    </row>
    <row r="34" spans="2:9" ht="18.75">
      <c r="B34" s="38"/>
      <c r="C34" s="173"/>
      <c r="D34" s="173"/>
      <c r="F34" s="51"/>
      <c r="G34" s="51"/>
      <c r="H34" s="51" t="s">
        <v>81</v>
      </c>
      <c r="I34" s="54"/>
    </row>
    <row r="35" spans="2:9" ht="18.75">
      <c r="B35" s="38"/>
      <c r="C35" s="173"/>
      <c r="D35" s="173"/>
      <c r="F35" s="51"/>
      <c r="G35" s="51"/>
      <c r="H35" s="51" t="s">
        <v>81</v>
      </c>
      <c r="I35" s="54"/>
    </row>
    <row r="36" spans="2:9" ht="18.75">
      <c r="B36" s="38"/>
      <c r="C36" s="173"/>
      <c r="D36" s="173"/>
      <c r="F36" s="51"/>
      <c r="G36" s="51"/>
      <c r="H36" s="51" t="s">
        <v>81</v>
      </c>
      <c r="I36" s="54"/>
    </row>
    <row r="37" spans="2:9" ht="18.75">
      <c r="B37" s="38"/>
      <c r="C37" s="173"/>
      <c r="D37" s="173"/>
      <c r="F37" s="51"/>
      <c r="G37" s="51"/>
      <c r="H37" s="51" t="s">
        <v>81</v>
      </c>
      <c r="I37" s="54"/>
    </row>
    <row r="38" spans="2:9" ht="18.75">
      <c r="B38" s="38"/>
      <c r="C38" s="173"/>
      <c r="D38" s="173"/>
      <c r="F38" s="51"/>
      <c r="G38" s="51"/>
      <c r="H38" s="51" t="s">
        <v>81</v>
      </c>
      <c r="I38" s="54"/>
    </row>
    <row r="39" spans="2:9" ht="18.75">
      <c r="B39" s="38"/>
      <c r="C39" s="173"/>
      <c r="D39" s="173"/>
      <c r="F39" s="51"/>
      <c r="G39" s="51"/>
      <c r="H39" s="51" t="s">
        <v>81</v>
      </c>
      <c r="I39" s="54"/>
    </row>
    <row r="40" spans="2:9" ht="18.75">
      <c r="B40" s="38"/>
      <c r="C40" s="173"/>
      <c r="D40" s="173"/>
      <c r="F40" s="51"/>
      <c r="G40" s="51"/>
      <c r="H40" s="51" t="s">
        <v>81</v>
      </c>
      <c r="I40" s="54"/>
    </row>
    <row r="41" spans="2:9" ht="18.75">
      <c r="B41" s="38"/>
      <c r="C41" s="173"/>
      <c r="D41" s="173"/>
      <c r="F41" s="51"/>
      <c r="G41" s="51"/>
      <c r="H41" s="51" t="s">
        <v>81</v>
      </c>
      <c r="I41" s="54"/>
    </row>
    <row r="42" spans="2:9" ht="18.75">
      <c r="B42" s="38"/>
      <c r="C42" s="173"/>
      <c r="D42" s="173"/>
      <c r="F42" s="51"/>
      <c r="G42" s="51"/>
      <c r="H42" s="51" t="s">
        <v>81</v>
      </c>
      <c r="I42" s="54"/>
    </row>
  </sheetData>
  <mergeCells count="41">
    <mergeCell ref="C13:D13"/>
    <mergeCell ref="C14:D14"/>
    <mergeCell ref="C15:D15"/>
    <mergeCell ref="C16:D16"/>
    <mergeCell ref="K2:L2"/>
    <mergeCell ref="C11:D11"/>
    <mergeCell ref="C12:D12"/>
    <mergeCell ref="B2:I2"/>
    <mergeCell ref="C4:D4"/>
    <mergeCell ref="C5:D5"/>
    <mergeCell ref="C6:D6"/>
    <mergeCell ref="B7:C7"/>
    <mergeCell ref="F9:H9"/>
    <mergeCell ref="I9:I10"/>
    <mergeCell ref="B10:D10"/>
    <mergeCell ref="C22:D22"/>
    <mergeCell ref="C23:D23"/>
    <mergeCell ref="C24:D24"/>
    <mergeCell ref="C25:D25"/>
    <mergeCell ref="C17:D17"/>
    <mergeCell ref="C18:D18"/>
    <mergeCell ref="C19:D19"/>
    <mergeCell ref="C20:D20"/>
    <mergeCell ref="C21:D21"/>
    <mergeCell ref="C26:D26"/>
    <mergeCell ref="C27:D27"/>
    <mergeCell ref="C28:D28"/>
    <mergeCell ref="C29:D29"/>
    <mergeCell ref="C30:D30"/>
    <mergeCell ref="C31:D31"/>
    <mergeCell ref="C32:D32"/>
    <mergeCell ref="C33:D33"/>
    <mergeCell ref="C34:D34"/>
    <mergeCell ref="C35:D35"/>
    <mergeCell ref="C41:D41"/>
    <mergeCell ref="C42:D42"/>
    <mergeCell ref="C36:D36"/>
    <mergeCell ref="C37:D37"/>
    <mergeCell ref="C38:D38"/>
    <mergeCell ref="C39:D39"/>
    <mergeCell ref="C40:D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7C25-86FD-48C0-912D-54ED8CEA5DAC}">
  <sheetPr>
    <tabColor theme="9" tint="-0.499984740745262"/>
  </sheetPr>
  <dimension ref="A2:L49"/>
  <sheetViews>
    <sheetView topLeftCell="B1" zoomScale="85" zoomScaleNormal="85" workbookViewId="0">
      <selection activeCell="C47" sqref="C47:D47"/>
    </sheetView>
  </sheetViews>
  <sheetFormatPr defaultColWidth="11.42578125" defaultRowHeight="15"/>
  <cols>
    <col min="1" max="1" width="2.85546875" customWidth="1"/>
    <col min="2" max="2" width="4.140625" customWidth="1"/>
    <col min="3" max="3" width="14.42578125" customWidth="1"/>
    <col min="4" max="4" width="121.5703125" customWidth="1"/>
    <col min="5" max="5" width="4.28515625" customWidth="1"/>
    <col min="6" max="8" width="7.140625" customWidth="1"/>
    <col min="9" max="9" width="85.7109375" customWidth="1"/>
    <col min="10" max="10" width="11.42578125" customWidth="1"/>
    <col min="11" max="11" width="14.140625" bestFit="1" customWidth="1"/>
  </cols>
  <sheetData>
    <row r="2" spans="1:12" ht="21.75" customHeight="1">
      <c r="B2" s="180" t="s">
        <v>66</v>
      </c>
      <c r="C2" s="181"/>
      <c r="D2" s="181"/>
      <c r="E2" s="181"/>
      <c r="F2" s="181"/>
      <c r="G2" s="181"/>
      <c r="H2" s="181"/>
      <c r="I2" s="181"/>
      <c r="K2" s="178" t="s">
        <v>2</v>
      </c>
      <c r="L2" s="179"/>
    </row>
    <row r="3" spans="1:12" ht="15" customHeight="1">
      <c r="B3" s="4"/>
      <c r="C3" s="4"/>
      <c r="D3" s="4"/>
      <c r="K3" s="54" t="s">
        <v>67</v>
      </c>
      <c r="L3" s="57">
        <f>COUNT(B12:D94)</f>
        <v>35</v>
      </c>
    </row>
    <row r="4" spans="1:12" ht="15.75">
      <c r="B4" s="17" t="s">
        <v>68</v>
      </c>
      <c r="C4" s="358" t="s">
        <v>69</v>
      </c>
      <c r="D4" s="358"/>
      <c r="K4" s="54" t="s">
        <v>15</v>
      </c>
      <c r="L4" s="57">
        <f>COUNTIF(F12:F94,"X")</f>
        <v>23</v>
      </c>
    </row>
    <row r="5" spans="1:12" ht="15.75">
      <c r="B5" s="17" t="s">
        <v>70</v>
      </c>
      <c r="C5" s="358" t="s">
        <v>71</v>
      </c>
      <c r="D5" s="358"/>
    </row>
    <row r="6" spans="1:12" ht="15.75">
      <c r="B6" s="17" t="s">
        <v>72</v>
      </c>
      <c r="C6" s="358" t="s">
        <v>73</v>
      </c>
      <c r="D6" s="358"/>
      <c r="I6">
        <f>COUNTIF('No funcionales generales'!F12:F144,"x")+COUNTIF('Funcionales generales'!F149,"x")+COUNTIF('No funcionales DB'!F12:F99,"x")+COUNTIF('Funcionales DB'!F12:F99,"x")+COUNTIF('No funcionales synkro'!F12:F97,"x")+COUNTIF('Funcionales synkro'!F12:F99,"x")+COUNTIF('Funcionales Home'!F12:F50,"x")+COUNTIF('No Funcionales Home'!F12:F100,"x")+COUNTIF('Funcionales Shop'!F12:F100,"x")+COUNTIF('No Funcionales Shop'!F12:F100,"x")+COUNTIF('Funcionales Producto'!F12:F100,"x")+COUNTIF('No Funcionales Producto'!F12:F100,"x")+COUNTIF('Funcionales Carrito'!F12:F100,"x")+COUNTIF('No Funcionales Carrito'!F12:F100,"x")+COUNTIF('Funcionales Checkout'!F12:F100,"x")+COUNTIF('No Funcionales Checkout '!F12:F100,"x")+COUNTIF('Funcionales Ordenes'!F12:F100,"x")+COUNTIF('No Funcionales Ordenes'!F12:F100,"x")+COUNTIF('Funcionales Favoritos'!F12:F100,"x")+COUNTIF('No Funcionales Favoritos'!F12:F100,"x")+COUNTIF('Funcionales Dashboard Admin'!F12:F100,"x")+COUNTIF('No Funcionales Dashboard Admin'!F12:F100,"x")+COUNTIF('Funcionales Gestión Productos'!F12:F100,"x")+COUNTIF('NoFuncionales Gestión Productos'!F12:F100,"x")+COUNTIF('Funcionales Gestión Categorías'!F12:F100,"x")+COUNTIF('No Funcional Gestión Categoria'!F12:F100,"x")+COUNTIF('Funcionales Gestión Usuarios'!F12:F100,"x")+COUNTIF('Funcionales Gestión Descuentos'!F12:F100,"x")+COUNTIF('No Funcionales Gestión Descuen'!F12:F100,"x")+COUNTIF('Funcionales Autenticación'!F12:F100,"x")+COUNTIF('No Funcionales Autenticación'!F12:F100,"x")+COUNTIF('Funcionales Pasarela de Pago'!F12:F100,"x")+COUNTIF('Funcionales Notificaciones'!F12:F100,"x")</f>
        <v>138</v>
      </c>
      <c r="K6" s="54" t="s">
        <v>74</v>
      </c>
      <c r="L6" s="127">
        <f>_xlfn.PERCENTOF(L4,L3)</f>
        <v>0.65714285714285714</v>
      </c>
    </row>
    <row r="7" spans="1:12" ht="15.75">
      <c r="B7" s="182" t="s">
        <v>75</v>
      </c>
      <c r="C7" s="182"/>
      <c r="D7" s="18" t="s">
        <v>76</v>
      </c>
    </row>
    <row r="8" spans="1:12" ht="15.75">
      <c r="B8" s="19"/>
      <c r="C8" s="19"/>
      <c r="D8" s="18"/>
    </row>
    <row r="9" spans="1:12">
      <c r="F9" s="183" t="s">
        <v>77</v>
      </c>
      <c r="G9" s="184"/>
      <c r="H9" s="185"/>
      <c r="I9" s="186" t="s">
        <v>78</v>
      </c>
    </row>
    <row r="10" spans="1:12" ht="20.25" customHeight="1">
      <c r="B10" s="187" t="s">
        <v>95</v>
      </c>
      <c r="C10" s="188"/>
      <c r="D10" s="188"/>
      <c r="E10" s="1"/>
      <c r="F10" s="14" t="s">
        <v>68</v>
      </c>
      <c r="G10" s="15" t="s">
        <v>70</v>
      </c>
      <c r="H10" s="15" t="s">
        <v>72</v>
      </c>
      <c r="I10" s="186"/>
      <c r="J10" s="3"/>
    </row>
    <row r="11" spans="1:12" ht="11.25" customHeight="1">
      <c r="B11" s="35"/>
      <c r="C11" s="359"/>
      <c r="D11" s="359"/>
      <c r="I11" s="55"/>
    </row>
    <row r="12" spans="1:12" ht="37.5" customHeight="1">
      <c r="A12" s="37"/>
      <c r="B12" s="38">
        <v>1</v>
      </c>
      <c r="C12" s="175" t="s">
        <v>80</v>
      </c>
      <c r="D12" s="175"/>
      <c r="E12" s="2"/>
      <c r="F12" s="51" t="s">
        <v>81</v>
      </c>
      <c r="G12" s="51"/>
      <c r="H12" s="51"/>
      <c r="I12" s="54"/>
    </row>
    <row r="13" spans="1:12" ht="33.75" customHeight="1">
      <c r="A13" s="37"/>
      <c r="B13" s="38">
        <v>2</v>
      </c>
      <c r="C13" s="175" t="s">
        <v>96</v>
      </c>
      <c r="D13" s="175"/>
      <c r="E13" s="2"/>
      <c r="F13" s="51" t="s">
        <v>81</v>
      </c>
      <c r="G13" s="51"/>
      <c r="H13" s="51"/>
      <c r="I13" s="54"/>
    </row>
    <row r="14" spans="1:12" ht="31.5" customHeight="1">
      <c r="A14" s="37"/>
      <c r="B14" s="38">
        <v>3</v>
      </c>
      <c r="C14" s="175" t="s">
        <v>97</v>
      </c>
      <c r="D14" s="175"/>
      <c r="E14" s="2"/>
      <c r="F14" s="51"/>
      <c r="G14" s="51"/>
      <c r="H14" s="51" t="s">
        <v>81</v>
      </c>
      <c r="I14" s="54"/>
    </row>
    <row r="15" spans="1:12" ht="37.5" customHeight="1">
      <c r="A15" s="37"/>
      <c r="B15" s="38">
        <v>4</v>
      </c>
      <c r="C15" s="176" t="s">
        <v>98</v>
      </c>
      <c r="D15" s="176"/>
      <c r="E15" s="2"/>
      <c r="F15" s="51" t="s">
        <v>81</v>
      </c>
      <c r="G15" s="51"/>
      <c r="H15" s="51"/>
      <c r="I15" s="54"/>
    </row>
    <row r="16" spans="1:12" ht="37.5" customHeight="1">
      <c r="A16" s="37"/>
      <c r="B16" s="38">
        <v>5</v>
      </c>
      <c r="C16" s="175" t="s">
        <v>99</v>
      </c>
      <c r="D16" s="175"/>
      <c r="F16" s="51"/>
      <c r="G16" s="51"/>
      <c r="H16" s="51" t="s">
        <v>81</v>
      </c>
      <c r="I16" s="54"/>
    </row>
    <row r="17" spans="1:9" ht="33.75" customHeight="1">
      <c r="A17" s="37"/>
      <c r="B17" s="38">
        <v>6</v>
      </c>
      <c r="C17" s="175" t="s">
        <v>100</v>
      </c>
      <c r="D17" s="175"/>
      <c r="F17" s="51" t="s">
        <v>81</v>
      </c>
      <c r="G17" s="51"/>
      <c r="H17" s="51"/>
      <c r="I17" s="54"/>
    </row>
    <row r="18" spans="1:9" ht="30.75" customHeight="1">
      <c r="A18" s="37"/>
      <c r="B18" s="38">
        <v>7</v>
      </c>
      <c r="C18" s="175" t="s">
        <v>101</v>
      </c>
      <c r="D18" s="175"/>
      <c r="F18" s="51" t="s">
        <v>81</v>
      </c>
      <c r="G18" s="51"/>
      <c r="H18" s="51"/>
      <c r="I18" s="54"/>
    </row>
    <row r="19" spans="1:9" ht="34.5" customHeight="1">
      <c r="A19" s="37"/>
      <c r="B19" s="38">
        <v>8</v>
      </c>
      <c r="C19" s="175" t="s">
        <v>102</v>
      </c>
      <c r="D19" s="175"/>
      <c r="F19" s="51"/>
      <c r="G19" s="51"/>
      <c r="H19" s="51" t="s">
        <v>81</v>
      </c>
      <c r="I19" s="54"/>
    </row>
    <row r="20" spans="1:9" ht="24.75" customHeight="1">
      <c r="A20" s="37"/>
      <c r="B20" s="38">
        <v>9</v>
      </c>
      <c r="C20" s="194" t="s">
        <v>103</v>
      </c>
      <c r="D20" s="194"/>
      <c r="F20" s="51" t="s">
        <v>81</v>
      </c>
      <c r="G20" s="51"/>
      <c r="H20" s="51"/>
      <c r="I20" s="54"/>
    </row>
    <row r="21" spans="1:9" ht="24.75" customHeight="1">
      <c r="A21" s="37"/>
      <c r="B21" s="38">
        <v>10</v>
      </c>
      <c r="C21" s="175" t="s">
        <v>104</v>
      </c>
      <c r="D21" s="175"/>
      <c r="F21" s="51" t="s">
        <v>81</v>
      </c>
      <c r="G21" s="51"/>
      <c r="H21" s="51"/>
      <c r="I21" s="54"/>
    </row>
    <row r="22" spans="1:9" ht="24.75" customHeight="1">
      <c r="A22" s="37"/>
      <c r="B22" s="38">
        <v>11</v>
      </c>
      <c r="C22" s="175" t="s">
        <v>105</v>
      </c>
      <c r="D22" s="175"/>
      <c r="F22" s="51" t="s">
        <v>81</v>
      </c>
      <c r="G22" s="51"/>
      <c r="H22" s="51"/>
      <c r="I22" s="54"/>
    </row>
    <row r="23" spans="1:9" ht="18.75">
      <c r="A23" s="37"/>
      <c r="B23" s="38">
        <v>12</v>
      </c>
      <c r="C23" s="193" t="s">
        <v>106</v>
      </c>
      <c r="D23" s="193"/>
      <c r="F23" s="51" t="s">
        <v>81</v>
      </c>
      <c r="G23" s="51"/>
      <c r="H23" s="51"/>
      <c r="I23" s="54"/>
    </row>
    <row r="24" spans="1:9" ht="24.75" customHeight="1">
      <c r="B24" s="38">
        <v>13</v>
      </c>
      <c r="C24" s="192" t="s">
        <v>107</v>
      </c>
      <c r="D24" s="189"/>
      <c r="F24" s="51"/>
      <c r="G24" s="53"/>
      <c r="H24" s="51" t="s">
        <v>81</v>
      </c>
      <c r="I24" s="53"/>
    </row>
    <row r="25" spans="1:9" ht="18.75">
      <c r="B25" s="38">
        <v>14</v>
      </c>
      <c r="C25" s="192" t="s">
        <v>108</v>
      </c>
      <c r="D25" s="189"/>
      <c r="F25" s="51" t="s">
        <v>81</v>
      </c>
      <c r="G25" s="53"/>
      <c r="H25" s="51"/>
      <c r="I25" s="53"/>
    </row>
    <row r="26" spans="1:9" ht="18.75">
      <c r="B26" s="38">
        <v>15</v>
      </c>
      <c r="C26" s="190" t="s">
        <v>109</v>
      </c>
      <c r="D26" s="191"/>
      <c r="F26" s="52"/>
      <c r="G26" s="85"/>
      <c r="H26" s="52" t="s">
        <v>81</v>
      </c>
      <c r="I26" s="85"/>
    </row>
    <row r="27" spans="1:9" ht="18.75">
      <c r="B27" s="38">
        <v>16</v>
      </c>
      <c r="C27" s="189" t="s">
        <v>110</v>
      </c>
      <c r="D27" s="189"/>
      <c r="F27" s="54"/>
      <c r="G27" s="54"/>
      <c r="H27" s="51" t="s">
        <v>81</v>
      </c>
      <c r="I27" s="54"/>
    </row>
    <row r="28" spans="1:9" ht="18.75">
      <c r="B28" s="38">
        <v>17</v>
      </c>
      <c r="C28" s="189" t="s">
        <v>111</v>
      </c>
      <c r="D28" s="189"/>
      <c r="F28" s="54"/>
      <c r="G28" s="54"/>
      <c r="H28" s="51" t="s">
        <v>81</v>
      </c>
      <c r="I28" s="54"/>
    </row>
    <row r="29" spans="1:9" ht="18.75">
      <c r="B29" s="38">
        <v>18</v>
      </c>
      <c r="C29" s="189" t="s">
        <v>112</v>
      </c>
      <c r="D29" s="189"/>
      <c r="F29" s="51" t="s">
        <v>81</v>
      </c>
      <c r="G29" s="54"/>
      <c r="H29" s="51"/>
      <c r="I29" s="54"/>
    </row>
    <row r="30" spans="1:9" ht="18.75">
      <c r="B30" s="38">
        <v>19</v>
      </c>
      <c r="C30" s="189" t="s">
        <v>113</v>
      </c>
      <c r="D30" s="189"/>
      <c r="F30" s="51"/>
      <c r="G30" s="54"/>
      <c r="H30" s="51" t="s">
        <v>81</v>
      </c>
      <c r="I30" s="54"/>
    </row>
    <row r="31" spans="1:9" ht="18.75">
      <c r="B31" s="38">
        <v>20</v>
      </c>
      <c r="C31" s="189" t="s">
        <v>114</v>
      </c>
      <c r="D31" s="189"/>
      <c r="F31" s="51" t="s">
        <v>81</v>
      </c>
      <c r="G31" s="54"/>
      <c r="H31" s="51"/>
      <c r="I31" s="54"/>
    </row>
    <row r="32" spans="1:9" ht="18.75">
      <c r="B32" s="38">
        <v>21</v>
      </c>
      <c r="C32" s="189" t="s">
        <v>115</v>
      </c>
      <c r="D32" s="189"/>
      <c r="F32" s="51" t="s">
        <v>81</v>
      </c>
      <c r="G32" s="54"/>
      <c r="H32" s="51"/>
      <c r="I32" s="54"/>
    </row>
    <row r="33" spans="2:9" ht="18.75">
      <c r="B33" s="38">
        <v>22</v>
      </c>
      <c r="C33" s="189" t="s">
        <v>116</v>
      </c>
      <c r="D33" s="189"/>
      <c r="F33" s="51" t="s">
        <v>81</v>
      </c>
      <c r="G33" s="54"/>
      <c r="H33" s="51"/>
      <c r="I33" s="54"/>
    </row>
    <row r="34" spans="2:9" ht="18.75">
      <c r="B34" s="38">
        <v>23</v>
      </c>
      <c r="C34" s="189" t="s">
        <v>117</v>
      </c>
      <c r="D34" s="189"/>
      <c r="F34" s="51" t="s">
        <v>81</v>
      </c>
      <c r="G34" s="54"/>
      <c r="H34" s="51"/>
      <c r="I34" s="54"/>
    </row>
    <row r="35" spans="2:9" ht="18.75">
      <c r="B35" s="38">
        <v>24</v>
      </c>
      <c r="C35" s="189" t="s">
        <v>118</v>
      </c>
      <c r="D35" s="189"/>
      <c r="F35" s="51"/>
      <c r="G35" s="54"/>
      <c r="H35" s="51" t="s">
        <v>81</v>
      </c>
      <c r="I35" s="54"/>
    </row>
    <row r="36" spans="2:9" ht="18.75">
      <c r="B36" s="38">
        <v>25</v>
      </c>
      <c r="C36" s="189" t="s">
        <v>119</v>
      </c>
      <c r="D36" s="189"/>
      <c r="F36" s="51" t="s">
        <v>81</v>
      </c>
      <c r="G36" s="54"/>
      <c r="H36" s="51"/>
      <c r="I36" s="54"/>
    </row>
    <row r="37" spans="2:9" ht="18.75">
      <c r="B37" s="38">
        <v>26</v>
      </c>
      <c r="C37" s="189" t="s">
        <v>120</v>
      </c>
      <c r="D37" s="189"/>
      <c r="F37" s="51" t="s">
        <v>81</v>
      </c>
      <c r="G37" s="54"/>
      <c r="H37" s="51"/>
      <c r="I37" s="54"/>
    </row>
    <row r="38" spans="2:9" ht="18.75">
      <c r="B38" s="38">
        <v>27</v>
      </c>
      <c r="C38" s="189" t="s">
        <v>121</v>
      </c>
      <c r="D38" s="189"/>
      <c r="F38" s="51" t="s">
        <v>81</v>
      </c>
      <c r="G38" s="54"/>
      <c r="H38" s="51"/>
      <c r="I38" s="54"/>
    </row>
    <row r="39" spans="2:9" ht="18.75">
      <c r="B39" s="38">
        <v>28</v>
      </c>
      <c r="C39" s="189" t="s">
        <v>122</v>
      </c>
      <c r="D39" s="189"/>
      <c r="F39" s="51" t="s">
        <v>81</v>
      </c>
      <c r="G39" s="54"/>
      <c r="H39" s="51"/>
      <c r="I39" s="54"/>
    </row>
    <row r="40" spans="2:9" ht="18.75">
      <c r="B40" s="38">
        <v>29</v>
      </c>
      <c r="C40" s="189" t="s">
        <v>123</v>
      </c>
      <c r="D40" s="189"/>
      <c r="F40" s="51" t="s">
        <v>81</v>
      </c>
      <c r="G40" s="54"/>
      <c r="H40" s="51"/>
      <c r="I40" s="54"/>
    </row>
    <row r="41" spans="2:9" ht="18.75">
      <c r="B41" s="38">
        <v>30</v>
      </c>
      <c r="C41" s="189" t="s">
        <v>124</v>
      </c>
      <c r="D41" s="189"/>
      <c r="F41" s="51"/>
      <c r="G41" s="54"/>
      <c r="H41" s="51"/>
      <c r="I41" s="54"/>
    </row>
    <row r="42" spans="2:9" ht="18.75">
      <c r="B42" s="38">
        <v>31</v>
      </c>
      <c r="C42" s="189" t="s">
        <v>125</v>
      </c>
      <c r="D42" s="189"/>
      <c r="F42" s="51"/>
      <c r="G42" s="54"/>
      <c r="H42" s="51"/>
      <c r="I42" s="54"/>
    </row>
    <row r="43" spans="2:9" ht="18.75">
      <c r="B43" s="38">
        <v>32</v>
      </c>
      <c r="C43" s="189" t="s">
        <v>126</v>
      </c>
      <c r="D43" s="189"/>
      <c r="F43" s="51" t="s">
        <v>81</v>
      </c>
      <c r="G43" s="54"/>
      <c r="H43" s="51"/>
      <c r="I43" s="54"/>
    </row>
    <row r="44" spans="2:9" ht="18.75">
      <c r="B44" s="38">
        <v>33</v>
      </c>
      <c r="C44" s="189" t="s">
        <v>127</v>
      </c>
      <c r="D44" s="189"/>
      <c r="F44" s="51"/>
      <c r="G44" s="54"/>
      <c r="H44" s="51" t="s">
        <v>81</v>
      </c>
      <c r="I44" s="54"/>
    </row>
    <row r="45" spans="2:9" ht="18.75">
      <c r="B45" s="38">
        <v>34</v>
      </c>
      <c r="C45" s="189" t="s">
        <v>128</v>
      </c>
      <c r="D45" s="189"/>
      <c r="F45" s="51" t="s">
        <v>81</v>
      </c>
      <c r="G45" s="54"/>
      <c r="H45" s="51"/>
      <c r="I45" s="54"/>
    </row>
    <row r="46" spans="2:9" ht="18.75">
      <c r="B46" s="38">
        <v>35</v>
      </c>
      <c r="C46" s="189" t="s">
        <v>129</v>
      </c>
      <c r="D46" s="189"/>
      <c r="F46" s="51" t="s">
        <v>81</v>
      </c>
      <c r="G46" s="54"/>
      <c r="H46" s="51"/>
      <c r="I46" s="54"/>
    </row>
    <row r="47" spans="2:9" ht="18.75">
      <c r="B47" s="38"/>
      <c r="C47" s="189"/>
      <c r="D47" s="189"/>
      <c r="F47" s="51"/>
      <c r="G47" s="54"/>
      <c r="H47" s="51"/>
      <c r="I47" s="54"/>
    </row>
    <row r="48" spans="2:9" ht="18.75">
      <c r="B48" s="38"/>
      <c r="C48" s="195"/>
      <c r="D48" s="196"/>
      <c r="F48" s="51"/>
      <c r="G48" s="54"/>
      <c r="H48" s="51"/>
      <c r="I48" s="54"/>
    </row>
    <row r="49" spans="2:2" ht="18.75">
      <c r="B49" s="38"/>
    </row>
  </sheetData>
  <mergeCells count="47">
    <mergeCell ref="C47:D47"/>
    <mergeCell ref="C48:D48"/>
    <mergeCell ref="B2:I2"/>
    <mergeCell ref="B10:D10"/>
    <mergeCell ref="C4:D4"/>
    <mergeCell ref="C5:D5"/>
    <mergeCell ref="C6:D6"/>
    <mergeCell ref="B7:C7"/>
    <mergeCell ref="I9:I10"/>
    <mergeCell ref="C11:D11"/>
    <mergeCell ref="C12:D12"/>
    <mergeCell ref="C13:D13"/>
    <mergeCell ref="F9:H9"/>
    <mergeCell ref="C17:D17"/>
    <mergeCell ref="C16:D16"/>
    <mergeCell ref="C14:D14"/>
    <mergeCell ref="C15:D15"/>
    <mergeCell ref="C22:D22"/>
    <mergeCell ref="C23:D23"/>
    <mergeCell ref="C18:D18"/>
    <mergeCell ref="C19:D19"/>
    <mergeCell ref="C20:D20"/>
    <mergeCell ref="C21:D21"/>
    <mergeCell ref="C24:D24"/>
    <mergeCell ref="C25:D25"/>
    <mergeCell ref="C35:D35"/>
    <mergeCell ref="C30:D30"/>
    <mergeCell ref="C31:D31"/>
    <mergeCell ref="C27:D27"/>
    <mergeCell ref="C28:D28"/>
    <mergeCell ref="C29:D29"/>
    <mergeCell ref="K2:L2"/>
    <mergeCell ref="C46:D46"/>
    <mergeCell ref="C41:D41"/>
    <mergeCell ref="C42:D42"/>
    <mergeCell ref="C43:D43"/>
    <mergeCell ref="C44:D44"/>
    <mergeCell ref="C45:D45"/>
    <mergeCell ref="C36:D36"/>
    <mergeCell ref="C37:D37"/>
    <mergeCell ref="C38:D38"/>
    <mergeCell ref="C39:D39"/>
    <mergeCell ref="C40:D40"/>
    <mergeCell ref="C32:D32"/>
    <mergeCell ref="C33:D33"/>
    <mergeCell ref="C34:D34"/>
    <mergeCell ref="C26:D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D5CAB-11EC-4E29-B00B-9016DF3D756C}">
  <sheetPr>
    <tabColor theme="7"/>
  </sheetPr>
  <dimension ref="B2:L42"/>
  <sheetViews>
    <sheetView workbookViewId="0">
      <selection activeCell="C13" sqref="C13:D13"/>
    </sheetView>
  </sheetViews>
  <sheetFormatPr defaultRowHeight="15"/>
  <cols>
    <col min="2" max="2" width="4.28515625" bestFit="1" customWidth="1"/>
    <col min="4" max="4" width="110.5703125" customWidth="1"/>
    <col min="9" max="9" width="52" customWidth="1"/>
    <col min="11" max="11" width="14.140625" bestFit="1" customWidth="1"/>
  </cols>
  <sheetData>
    <row r="2" spans="2:12" ht="18.75">
      <c r="B2" s="180" t="s">
        <v>66</v>
      </c>
      <c r="C2" s="181"/>
      <c r="D2" s="181"/>
      <c r="E2" s="181"/>
      <c r="F2" s="181"/>
      <c r="G2" s="181"/>
      <c r="H2" s="181"/>
      <c r="I2" s="181"/>
      <c r="K2" s="197" t="s">
        <v>2</v>
      </c>
      <c r="L2" s="197"/>
    </row>
    <row r="3" spans="2:12">
      <c r="B3" s="4"/>
      <c r="C3" s="4"/>
      <c r="D3" s="4"/>
      <c r="K3" s="54" t="s">
        <v>67</v>
      </c>
      <c r="L3" s="57">
        <f>COUNT(B12:D99)</f>
        <v>1</v>
      </c>
    </row>
    <row r="4" spans="2:12" ht="15.75">
      <c r="B4" s="17" t="s">
        <v>68</v>
      </c>
      <c r="C4" s="358" t="s">
        <v>69</v>
      </c>
      <c r="D4" s="358"/>
      <c r="K4" s="54" t="s">
        <v>15</v>
      </c>
      <c r="L4" s="57">
        <f>COUNTIF(F12:F99,"X")</f>
        <v>1</v>
      </c>
    </row>
    <row r="5" spans="2:12" ht="15.75">
      <c r="B5" s="17" t="s">
        <v>70</v>
      </c>
      <c r="C5" s="358" t="s">
        <v>71</v>
      </c>
      <c r="D5" s="358"/>
    </row>
    <row r="6" spans="2:12" ht="15.75">
      <c r="B6" s="17" t="s">
        <v>72</v>
      </c>
      <c r="C6" s="358" t="s">
        <v>73</v>
      </c>
      <c r="D6" s="358"/>
      <c r="K6" s="54" t="s">
        <v>74</v>
      </c>
      <c r="L6" s="127">
        <f>_xlfn.PERCENTOF(L4,L3)</f>
        <v>1</v>
      </c>
    </row>
    <row r="7" spans="2:12" ht="15.75">
      <c r="B7" s="182" t="s">
        <v>75</v>
      </c>
      <c r="C7" s="182"/>
      <c r="D7" s="18" t="s">
        <v>76</v>
      </c>
    </row>
    <row r="9" spans="2:12">
      <c r="F9" s="183" t="s">
        <v>77</v>
      </c>
      <c r="G9" s="184"/>
      <c r="H9" s="185"/>
      <c r="I9" s="186" t="s">
        <v>78</v>
      </c>
    </row>
    <row r="10" spans="2:12" ht="18.75">
      <c r="B10" s="197" t="s">
        <v>130</v>
      </c>
      <c r="C10" s="197"/>
      <c r="D10" s="197"/>
      <c r="E10" s="1"/>
      <c r="F10" s="14" t="s">
        <v>68</v>
      </c>
      <c r="G10" s="15" t="s">
        <v>70</v>
      </c>
      <c r="H10" s="15" t="s">
        <v>72</v>
      </c>
      <c r="I10" s="186"/>
      <c r="K10" s="119"/>
    </row>
    <row r="11" spans="2:12">
      <c r="B11" s="35"/>
      <c r="C11" s="359"/>
      <c r="D11" s="359"/>
      <c r="I11" s="55"/>
    </row>
    <row r="12" spans="2:12" ht="34.5" customHeight="1">
      <c r="B12" s="144">
        <v>1</v>
      </c>
      <c r="C12" s="175" t="s">
        <v>131</v>
      </c>
      <c r="D12" s="175"/>
      <c r="E12" s="2"/>
      <c r="F12" s="51" t="s">
        <v>81</v>
      </c>
      <c r="G12" s="51"/>
      <c r="H12" s="51"/>
      <c r="I12" s="54"/>
    </row>
    <row r="13" spans="2:12" ht="18.75">
      <c r="B13" s="144"/>
      <c r="C13" s="175"/>
      <c r="D13" s="175"/>
      <c r="E13" s="2"/>
      <c r="F13" s="51"/>
      <c r="G13" s="51"/>
      <c r="H13" s="51" t="s">
        <v>81</v>
      </c>
      <c r="I13" s="54"/>
    </row>
    <row r="14" spans="2:12" ht="18.75">
      <c r="B14" s="144"/>
      <c r="C14" s="176"/>
      <c r="D14" s="176"/>
      <c r="E14" s="2"/>
      <c r="F14" s="51"/>
      <c r="G14" s="51"/>
      <c r="H14" s="51" t="s">
        <v>81</v>
      </c>
      <c r="I14" s="54"/>
    </row>
    <row r="15" spans="2:12" ht="18.75">
      <c r="B15" s="144"/>
      <c r="C15" s="177"/>
      <c r="D15" s="177"/>
      <c r="E15" s="2"/>
      <c r="F15" s="51"/>
      <c r="G15" s="51"/>
      <c r="H15" s="51" t="s">
        <v>81</v>
      </c>
      <c r="I15" s="54"/>
    </row>
    <row r="16" spans="2:12" ht="18.75">
      <c r="B16" s="144"/>
      <c r="C16" s="174"/>
      <c r="D16" s="173"/>
      <c r="E16" s="2"/>
      <c r="F16" s="51"/>
      <c r="G16" s="51"/>
      <c r="H16" s="51" t="s">
        <v>81</v>
      </c>
      <c r="I16" s="54"/>
    </row>
    <row r="17" spans="2:9" ht="18.75" customHeight="1">
      <c r="B17" s="144"/>
      <c r="C17" s="174"/>
      <c r="D17" s="173"/>
      <c r="F17" s="51"/>
      <c r="G17" s="51"/>
      <c r="H17" s="51" t="s">
        <v>81</v>
      </c>
      <c r="I17" s="54"/>
    </row>
    <row r="18" spans="2:9" ht="18.75">
      <c r="B18" s="144"/>
      <c r="C18" s="174"/>
      <c r="D18" s="174"/>
      <c r="F18" s="51"/>
      <c r="G18" s="51"/>
      <c r="H18" s="51" t="s">
        <v>81</v>
      </c>
      <c r="I18" s="54"/>
    </row>
    <row r="19" spans="2:9" ht="18.75">
      <c r="B19" s="144"/>
      <c r="C19" s="174"/>
      <c r="D19" s="173"/>
      <c r="F19" s="51"/>
      <c r="G19" s="51"/>
      <c r="H19" s="51" t="s">
        <v>81</v>
      </c>
      <c r="I19" s="54"/>
    </row>
    <row r="20" spans="2:9" ht="18.75">
      <c r="B20" s="144"/>
      <c r="C20" s="173"/>
      <c r="D20" s="173"/>
      <c r="F20" s="51"/>
      <c r="G20" s="51"/>
      <c r="H20" s="51" t="s">
        <v>81</v>
      </c>
      <c r="I20" s="54"/>
    </row>
    <row r="21" spans="2:9" ht="18.75">
      <c r="B21" s="144"/>
      <c r="C21" s="173"/>
      <c r="D21" s="173"/>
      <c r="F21" s="51"/>
      <c r="G21" s="51"/>
      <c r="H21" s="51" t="s">
        <v>81</v>
      </c>
      <c r="I21" s="54"/>
    </row>
    <row r="22" spans="2:9" ht="18.75">
      <c r="B22" s="144"/>
      <c r="C22" s="173"/>
      <c r="D22" s="173"/>
      <c r="F22" s="51"/>
      <c r="G22" s="51"/>
      <c r="H22" s="51" t="s">
        <v>81</v>
      </c>
      <c r="I22" s="54"/>
    </row>
    <row r="23" spans="2:9" ht="18.75">
      <c r="B23" s="144"/>
      <c r="C23" s="173"/>
      <c r="D23" s="173"/>
      <c r="F23" s="51"/>
      <c r="G23" s="51"/>
      <c r="H23" s="51" t="s">
        <v>81</v>
      </c>
      <c r="I23" s="54"/>
    </row>
    <row r="24" spans="2:9" ht="18.75">
      <c r="B24" s="144"/>
      <c r="C24" s="173"/>
      <c r="D24" s="173"/>
      <c r="F24" s="51"/>
      <c r="G24" s="51"/>
      <c r="H24" s="51" t="s">
        <v>81</v>
      </c>
      <c r="I24" s="54"/>
    </row>
    <row r="25" spans="2:9" ht="18.75">
      <c r="B25" s="144"/>
      <c r="C25" s="173"/>
      <c r="D25" s="173"/>
      <c r="E25" s="142"/>
      <c r="F25" s="51"/>
      <c r="G25" s="51"/>
      <c r="H25" s="51" t="s">
        <v>81</v>
      </c>
      <c r="I25" s="54"/>
    </row>
    <row r="26" spans="2:9" ht="18.75">
      <c r="B26" s="144"/>
      <c r="C26" s="173"/>
      <c r="D26" s="173"/>
      <c r="F26" s="51"/>
      <c r="G26" s="51"/>
      <c r="H26" s="51" t="s">
        <v>81</v>
      </c>
      <c r="I26" s="54"/>
    </row>
    <row r="27" spans="2:9" ht="18.75">
      <c r="B27" s="144"/>
      <c r="C27" s="173"/>
      <c r="D27" s="173"/>
      <c r="F27" s="51"/>
      <c r="G27" s="51"/>
      <c r="H27" s="51" t="s">
        <v>81</v>
      </c>
      <c r="I27" s="54"/>
    </row>
    <row r="28" spans="2:9" ht="18.75">
      <c r="B28" s="144"/>
      <c r="C28" s="173"/>
      <c r="D28" s="173"/>
      <c r="F28" s="51"/>
      <c r="G28" s="51"/>
      <c r="H28" s="51" t="s">
        <v>81</v>
      </c>
      <c r="I28" s="54"/>
    </row>
    <row r="29" spans="2:9" ht="18.75">
      <c r="B29" s="144"/>
      <c r="C29" s="173"/>
      <c r="D29" s="173"/>
      <c r="F29" s="51"/>
      <c r="G29" s="51"/>
      <c r="H29" s="51" t="s">
        <v>81</v>
      </c>
      <c r="I29" s="54"/>
    </row>
    <row r="30" spans="2:9" ht="18.75">
      <c r="B30" s="144"/>
      <c r="C30" s="173"/>
      <c r="D30" s="173"/>
      <c r="F30" s="51"/>
      <c r="G30" s="51"/>
      <c r="H30" s="51" t="s">
        <v>81</v>
      </c>
      <c r="I30" s="54"/>
    </row>
    <row r="31" spans="2:9" ht="18.75">
      <c r="B31" s="144"/>
      <c r="C31" s="173"/>
      <c r="D31" s="173"/>
      <c r="F31" s="51"/>
      <c r="G31" s="51"/>
      <c r="H31" s="51" t="s">
        <v>81</v>
      </c>
      <c r="I31" s="54"/>
    </row>
    <row r="32" spans="2:9" ht="18.75">
      <c r="B32" s="144"/>
      <c r="C32" s="173"/>
      <c r="D32" s="173"/>
      <c r="F32" s="51"/>
      <c r="G32" s="51"/>
      <c r="H32" s="51" t="s">
        <v>81</v>
      </c>
      <c r="I32" s="54"/>
    </row>
    <row r="33" spans="2:9" ht="18.75">
      <c r="B33" s="144"/>
      <c r="C33" s="173"/>
      <c r="D33" s="173"/>
      <c r="F33" s="51"/>
      <c r="G33" s="51"/>
      <c r="H33" s="51" t="s">
        <v>81</v>
      </c>
      <c r="I33" s="54"/>
    </row>
    <row r="34" spans="2:9" ht="18.75">
      <c r="B34" s="144"/>
      <c r="C34" s="173"/>
      <c r="D34" s="173"/>
      <c r="F34" s="51"/>
      <c r="G34" s="51"/>
      <c r="H34" s="51" t="s">
        <v>81</v>
      </c>
      <c r="I34" s="54"/>
    </row>
    <row r="35" spans="2:9" ht="18.75">
      <c r="B35" s="144"/>
      <c r="C35" s="173"/>
      <c r="D35" s="173"/>
      <c r="F35" s="51"/>
      <c r="G35" s="51"/>
      <c r="H35" s="51" t="s">
        <v>81</v>
      </c>
      <c r="I35" s="54"/>
    </row>
    <row r="36" spans="2:9" ht="18.75">
      <c r="B36" s="144"/>
      <c r="C36" s="173"/>
      <c r="D36" s="173"/>
      <c r="F36" s="51"/>
      <c r="G36" s="51"/>
      <c r="H36" s="51" t="s">
        <v>81</v>
      </c>
      <c r="I36" s="54"/>
    </row>
    <row r="37" spans="2:9" ht="18.75">
      <c r="B37" s="144"/>
      <c r="C37" s="173"/>
      <c r="D37" s="173"/>
      <c r="F37" s="51"/>
      <c r="G37" s="51"/>
      <c r="H37" s="51" t="s">
        <v>81</v>
      </c>
      <c r="I37" s="54"/>
    </row>
    <row r="38" spans="2:9" ht="18.75">
      <c r="B38" s="144"/>
      <c r="C38" s="173"/>
      <c r="D38" s="173"/>
      <c r="F38" s="51"/>
      <c r="G38" s="51"/>
      <c r="H38" s="51" t="s">
        <v>81</v>
      </c>
      <c r="I38" s="54"/>
    </row>
    <row r="39" spans="2:9" ht="18.75">
      <c r="B39" s="144"/>
      <c r="C39" s="173"/>
      <c r="D39" s="173"/>
      <c r="F39" s="51"/>
      <c r="G39" s="51"/>
      <c r="H39" s="51" t="s">
        <v>81</v>
      </c>
      <c r="I39" s="54"/>
    </row>
    <row r="40" spans="2:9" ht="18.75">
      <c r="B40" s="144"/>
      <c r="C40" s="173"/>
      <c r="D40" s="173"/>
      <c r="F40" s="51"/>
      <c r="G40" s="51"/>
      <c r="H40" s="51" t="s">
        <v>81</v>
      </c>
      <c r="I40" s="54"/>
    </row>
    <row r="41" spans="2:9" ht="18.75">
      <c r="B41" s="144"/>
      <c r="C41" s="173"/>
      <c r="D41" s="173"/>
      <c r="F41" s="51"/>
      <c r="G41" s="51"/>
      <c r="H41" s="51" t="s">
        <v>81</v>
      </c>
      <c r="I41" s="54"/>
    </row>
    <row r="42" spans="2:9" ht="18.75">
      <c r="B42" s="144"/>
      <c r="C42" s="173"/>
      <c r="D42" s="173"/>
      <c r="F42" s="51"/>
      <c r="G42" s="51"/>
      <c r="H42" s="51"/>
      <c r="I42" s="54"/>
    </row>
  </sheetData>
  <mergeCells count="41">
    <mergeCell ref="C13:D13"/>
    <mergeCell ref="B2:I2"/>
    <mergeCell ref="K2:L2"/>
    <mergeCell ref="C4:D4"/>
    <mergeCell ref="C5:D5"/>
    <mergeCell ref="C6:D6"/>
    <mergeCell ref="B7:C7"/>
    <mergeCell ref="F9:H9"/>
    <mergeCell ref="I9:I10"/>
    <mergeCell ref="B10:D10"/>
    <mergeCell ref="C11:D11"/>
    <mergeCell ref="C12:D12"/>
    <mergeCell ref="C25:D25"/>
    <mergeCell ref="C14:D14"/>
    <mergeCell ref="C15:D15"/>
    <mergeCell ref="C16:D16"/>
    <mergeCell ref="C17:D17"/>
    <mergeCell ref="C18:D18"/>
    <mergeCell ref="C19:D19"/>
    <mergeCell ref="C20:D20"/>
    <mergeCell ref="C21:D21"/>
    <mergeCell ref="C22:D22"/>
    <mergeCell ref="C23:D23"/>
    <mergeCell ref="C24:D24"/>
    <mergeCell ref="C37:D37"/>
    <mergeCell ref="C26:D26"/>
    <mergeCell ref="C27:D27"/>
    <mergeCell ref="C28:D28"/>
    <mergeCell ref="C29:D29"/>
    <mergeCell ref="C30:D30"/>
    <mergeCell ref="C31:D31"/>
    <mergeCell ref="C32:D32"/>
    <mergeCell ref="C33:D33"/>
    <mergeCell ref="C34:D34"/>
    <mergeCell ref="C35:D35"/>
    <mergeCell ref="C36:D36"/>
    <mergeCell ref="C38:D38"/>
    <mergeCell ref="C39:D39"/>
    <mergeCell ref="C40:D40"/>
    <mergeCell ref="C41:D41"/>
    <mergeCell ref="C42:D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7601-6048-4777-A766-89FA0BC62055}">
  <sheetPr>
    <tabColor theme="7"/>
  </sheetPr>
  <dimension ref="A2:L144"/>
  <sheetViews>
    <sheetView zoomScale="85" zoomScaleNormal="85" workbookViewId="0">
      <selection activeCell="D3" sqref="D3"/>
    </sheetView>
  </sheetViews>
  <sheetFormatPr defaultColWidth="11.42578125" defaultRowHeight="15"/>
  <cols>
    <col min="1" max="1" width="2.85546875" customWidth="1"/>
    <col min="2" max="2" width="4.140625" customWidth="1"/>
    <col min="3" max="3" width="14.42578125" customWidth="1"/>
    <col min="4" max="4" width="121.5703125" customWidth="1"/>
    <col min="5" max="5" width="4.28515625" customWidth="1"/>
    <col min="6" max="8" width="7.140625" customWidth="1"/>
    <col min="9" max="9" width="85.7109375" customWidth="1"/>
    <col min="10" max="10" width="11.42578125" customWidth="1"/>
    <col min="11" max="11" width="14.140625" bestFit="1" customWidth="1"/>
  </cols>
  <sheetData>
    <row r="2" spans="1:12" ht="21.75" customHeight="1">
      <c r="B2" s="180" t="s">
        <v>66</v>
      </c>
      <c r="C2" s="181"/>
      <c r="D2" s="181"/>
      <c r="E2" s="181"/>
      <c r="F2" s="181"/>
      <c r="G2" s="181"/>
      <c r="H2" s="181"/>
      <c r="I2" s="181"/>
      <c r="K2" s="197" t="s">
        <v>2</v>
      </c>
      <c r="L2" s="197"/>
    </row>
    <row r="3" spans="1:12" ht="15" customHeight="1">
      <c r="B3" s="4"/>
      <c r="C3" s="4"/>
      <c r="D3" s="4"/>
      <c r="K3" s="54" t="s">
        <v>67</v>
      </c>
      <c r="L3" s="57">
        <f>COUNT(B12:D94)</f>
        <v>83</v>
      </c>
    </row>
    <row r="4" spans="1:12" ht="15.75">
      <c r="B4" s="17" t="s">
        <v>68</v>
      </c>
      <c r="C4" s="358" t="s">
        <v>69</v>
      </c>
      <c r="D4" s="358"/>
      <c r="K4" s="54" t="s">
        <v>15</v>
      </c>
      <c r="L4" s="57">
        <f>COUNTIF(F12:F94,"X")</f>
        <v>83</v>
      </c>
    </row>
    <row r="5" spans="1:12" ht="15.75">
      <c r="B5" s="17" t="s">
        <v>70</v>
      </c>
      <c r="C5" s="358" t="s">
        <v>71</v>
      </c>
      <c r="D5" s="358"/>
    </row>
    <row r="6" spans="1:12" ht="15.75">
      <c r="B6" s="17" t="s">
        <v>72</v>
      </c>
      <c r="C6" s="358" t="s">
        <v>73</v>
      </c>
      <c r="D6" s="358"/>
      <c r="K6" s="54" t="s">
        <v>74</v>
      </c>
      <c r="L6" s="127">
        <f>_xlfn.PERCENTOF(L4,L3)</f>
        <v>1</v>
      </c>
    </row>
    <row r="7" spans="1:12" ht="15.75">
      <c r="B7" s="182" t="s">
        <v>75</v>
      </c>
      <c r="C7" s="182"/>
      <c r="D7" s="18" t="s">
        <v>76</v>
      </c>
    </row>
    <row r="8" spans="1:12" ht="15.75">
      <c r="B8" s="19"/>
      <c r="C8" s="19"/>
      <c r="D8" s="18"/>
    </row>
    <row r="9" spans="1:12">
      <c r="F9" s="183" t="s">
        <v>77</v>
      </c>
      <c r="G9" s="184"/>
      <c r="H9" s="185"/>
      <c r="I9" s="186" t="s">
        <v>78</v>
      </c>
    </row>
    <row r="10" spans="1:12" ht="20.25" customHeight="1">
      <c r="B10" s="197" t="s">
        <v>132</v>
      </c>
      <c r="C10" s="197"/>
      <c r="D10" s="197"/>
      <c r="E10" s="1"/>
      <c r="F10" s="14" t="s">
        <v>68</v>
      </c>
      <c r="G10" s="15" t="s">
        <v>70</v>
      </c>
      <c r="H10" s="15" t="s">
        <v>72</v>
      </c>
      <c r="I10" s="186"/>
      <c r="J10" s="3"/>
    </row>
    <row r="11" spans="1:12" ht="11.25" customHeight="1">
      <c r="B11" s="35"/>
      <c r="C11" s="359"/>
      <c r="D11" s="359"/>
      <c r="I11" s="55"/>
    </row>
    <row r="12" spans="1:12" ht="37.5" customHeight="1">
      <c r="A12" s="37"/>
      <c r="B12" s="143">
        <v>1</v>
      </c>
      <c r="C12" s="175" t="s">
        <v>133</v>
      </c>
      <c r="D12" s="175"/>
      <c r="E12" s="2"/>
      <c r="F12" s="51" t="s">
        <v>134</v>
      </c>
      <c r="G12" s="51"/>
      <c r="H12" s="51"/>
      <c r="I12" s="54"/>
    </row>
    <row r="13" spans="1:12" ht="33.75" customHeight="1">
      <c r="A13" s="37"/>
      <c r="B13" s="143">
        <v>2</v>
      </c>
      <c r="C13" s="175" t="s">
        <v>135</v>
      </c>
      <c r="D13" s="175"/>
      <c r="E13" s="2"/>
      <c r="F13" s="51" t="s">
        <v>134</v>
      </c>
      <c r="G13" s="51"/>
      <c r="H13" s="51"/>
      <c r="I13" s="54"/>
    </row>
    <row r="14" spans="1:12" ht="31.5" customHeight="1">
      <c r="A14" s="37"/>
      <c r="B14" s="143">
        <v>3</v>
      </c>
      <c r="C14" s="175" t="s">
        <v>136</v>
      </c>
      <c r="D14" s="175"/>
      <c r="E14" s="2"/>
      <c r="F14" s="51" t="s">
        <v>134</v>
      </c>
      <c r="G14" s="51"/>
      <c r="H14" s="51"/>
      <c r="I14" s="54"/>
    </row>
    <row r="15" spans="1:12" ht="37.5" customHeight="1">
      <c r="A15" s="37"/>
      <c r="B15" s="143">
        <v>4</v>
      </c>
      <c r="C15" s="176" t="s">
        <v>137</v>
      </c>
      <c r="D15" s="176"/>
      <c r="E15" s="2"/>
      <c r="F15" s="51" t="s">
        <v>134</v>
      </c>
      <c r="G15" s="51"/>
      <c r="H15" s="51"/>
      <c r="I15" s="54"/>
    </row>
    <row r="16" spans="1:12" ht="37.5" customHeight="1">
      <c r="A16" s="37"/>
      <c r="B16" s="143">
        <v>5</v>
      </c>
      <c r="C16" s="175" t="s">
        <v>138</v>
      </c>
      <c r="D16" s="175"/>
      <c r="F16" s="51" t="s">
        <v>134</v>
      </c>
      <c r="G16" s="51"/>
      <c r="H16" s="51"/>
      <c r="I16" s="54"/>
    </row>
    <row r="17" spans="1:9" ht="33.75" customHeight="1">
      <c r="A17" s="37"/>
      <c r="B17" s="143">
        <v>6</v>
      </c>
      <c r="C17" s="175" t="s">
        <v>139</v>
      </c>
      <c r="D17" s="175"/>
      <c r="F17" s="51" t="s">
        <v>134</v>
      </c>
      <c r="G17" s="51"/>
      <c r="H17" s="51"/>
      <c r="I17" s="54"/>
    </row>
    <row r="18" spans="1:9" ht="30.75" customHeight="1">
      <c r="A18" s="37"/>
      <c r="B18" s="143">
        <v>7</v>
      </c>
      <c r="C18" s="175" t="s">
        <v>140</v>
      </c>
      <c r="D18" s="175"/>
      <c r="F18" s="51" t="s">
        <v>134</v>
      </c>
      <c r="G18" s="51"/>
      <c r="H18" s="51"/>
      <c r="I18" s="54"/>
    </row>
    <row r="19" spans="1:9" ht="34.5" customHeight="1">
      <c r="A19" s="37"/>
      <c r="B19" s="143">
        <v>8</v>
      </c>
      <c r="C19" s="175" t="s">
        <v>141</v>
      </c>
      <c r="D19" s="175"/>
      <c r="F19" s="51" t="s">
        <v>134</v>
      </c>
      <c r="G19" s="51"/>
      <c r="H19" s="51"/>
      <c r="I19" s="54"/>
    </row>
    <row r="20" spans="1:9" ht="24.75" customHeight="1">
      <c r="A20" s="37"/>
      <c r="B20" s="143">
        <v>9</v>
      </c>
      <c r="C20" s="194" t="s">
        <v>142</v>
      </c>
      <c r="D20" s="194"/>
      <c r="F20" s="51" t="s">
        <v>134</v>
      </c>
      <c r="G20" s="51"/>
      <c r="H20" s="51"/>
      <c r="I20" s="54"/>
    </row>
    <row r="21" spans="1:9" ht="24.75" customHeight="1">
      <c r="A21" s="37"/>
      <c r="B21" s="143">
        <v>10</v>
      </c>
      <c r="C21" s="175" t="s">
        <v>143</v>
      </c>
      <c r="D21" s="175"/>
      <c r="F21" s="51" t="s">
        <v>134</v>
      </c>
      <c r="G21" s="51"/>
      <c r="H21" s="51"/>
      <c r="I21" s="54"/>
    </row>
    <row r="22" spans="1:9" ht="24.75" customHeight="1">
      <c r="A22" s="37"/>
      <c r="B22" s="143">
        <v>11</v>
      </c>
      <c r="C22" s="175" t="s">
        <v>144</v>
      </c>
      <c r="D22" s="175"/>
      <c r="F22" s="51" t="s">
        <v>134</v>
      </c>
      <c r="G22" s="51"/>
      <c r="H22" s="51"/>
      <c r="I22" s="54"/>
    </row>
    <row r="23" spans="1:9" ht="18.75">
      <c r="A23" s="37"/>
      <c r="B23" s="143">
        <v>12</v>
      </c>
      <c r="C23" s="193" t="s">
        <v>145</v>
      </c>
      <c r="D23" s="193"/>
      <c r="F23" s="51" t="s">
        <v>134</v>
      </c>
      <c r="G23" s="51"/>
      <c r="H23" s="51"/>
      <c r="I23" s="54"/>
    </row>
    <row r="24" spans="1:9" ht="24.75" customHeight="1">
      <c r="B24" s="143">
        <v>13</v>
      </c>
      <c r="C24" s="192" t="s">
        <v>146</v>
      </c>
      <c r="D24" s="189"/>
      <c r="F24" s="51" t="s">
        <v>134</v>
      </c>
      <c r="G24" s="51"/>
      <c r="H24" s="51"/>
      <c r="I24" s="53"/>
    </row>
    <row r="25" spans="1:9" ht="18.75">
      <c r="B25" s="143">
        <v>14</v>
      </c>
      <c r="C25" s="192" t="s">
        <v>147</v>
      </c>
      <c r="D25" s="189"/>
      <c r="F25" s="51" t="s">
        <v>134</v>
      </c>
      <c r="G25" s="51"/>
      <c r="H25" s="51"/>
      <c r="I25" s="53"/>
    </row>
    <row r="26" spans="1:9" ht="18.75">
      <c r="B26" s="143">
        <v>15</v>
      </c>
      <c r="C26" s="190" t="s">
        <v>148</v>
      </c>
      <c r="D26" s="191"/>
      <c r="F26" s="51" t="s">
        <v>134</v>
      </c>
      <c r="G26" s="51"/>
      <c r="H26" s="51"/>
      <c r="I26" s="85"/>
    </row>
    <row r="27" spans="1:9" ht="18.75">
      <c r="B27" s="143">
        <v>16</v>
      </c>
      <c r="C27" s="189" t="s">
        <v>149</v>
      </c>
      <c r="D27" s="189"/>
      <c r="F27" s="51" t="s">
        <v>134</v>
      </c>
      <c r="G27" s="51"/>
      <c r="H27" s="51"/>
      <c r="I27" s="54"/>
    </row>
    <row r="28" spans="1:9" ht="18.75">
      <c r="B28" s="143">
        <v>17</v>
      </c>
      <c r="C28" s="189" t="s">
        <v>150</v>
      </c>
      <c r="D28" s="189"/>
      <c r="F28" s="51" t="s">
        <v>134</v>
      </c>
      <c r="G28" s="51"/>
      <c r="H28" s="51"/>
      <c r="I28" s="54"/>
    </row>
    <row r="29" spans="1:9" ht="18.75">
      <c r="B29" s="143">
        <v>18</v>
      </c>
      <c r="C29" s="189" t="s">
        <v>151</v>
      </c>
      <c r="D29" s="189"/>
      <c r="F29" s="51" t="s">
        <v>134</v>
      </c>
      <c r="G29" s="51"/>
      <c r="H29" s="51"/>
      <c r="I29" s="54"/>
    </row>
    <row r="30" spans="1:9" ht="18.75">
      <c r="B30" s="143">
        <v>19</v>
      </c>
      <c r="C30" s="189" t="s">
        <v>152</v>
      </c>
      <c r="D30" s="189"/>
      <c r="F30" s="51" t="s">
        <v>134</v>
      </c>
      <c r="G30" s="51"/>
      <c r="H30" s="51"/>
      <c r="I30" s="54"/>
    </row>
    <row r="31" spans="1:9" ht="18.75">
      <c r="B31" s="143">
        <v>20</v>
      </c>
      <c r="C31" s="189" t="s">
        <v>153</v>
      </c>
      <c r="D31" s="189"/>
      <c r="F31" s="51" t="s">
        <v>134</v>
      </c>
      <c r="G31" s="51"/>
      <c r="H31" s="51"/>
      <c r="I31" s="54"/>
    </row>
    <row r="32" spans="1:9" ht="18.75">
      <c r="B32" s="143">
        <v>21</v>
      </c>
      <c r="C32" s="189" t="s">
        <v>154</v>
      </c>
      <c r="D32" s="189"/>
      <c r="F32" s="51" t="s">
        <v>134</v>
      </c>
      <c r="G32" s="51"/>
      <c r="H32" s="51"/>
      <c r="I32" s="54"/>
    </row>
    <row r="33" spans="2:9" ht="18.75">
      <c r="B33" s="143">
        <v>22</v>
      </c>
      <c r="C33" s="189" t="s">
        <v>155</v>
      </c>
      <c r="D33" s="189"/>
      <c r="F33" s="51" t="s">
        <v>134</v>
      </c>
      <c r="G33" s="51"/>
      <c r="H33" s="51"/>
      <c r="I33" s="54"/>
    </row>
    <row r="34" spans="2:9" ht="18.75">
      <c r="B34" s="143">
        <v>23</v>
      </c>
      <c r="C34" s="189" t="s">
        <v>156</v>
      </c>
      <c r="D34" s="189"/>
      <c r="F34" s="51" t="s">
        <v>134</v>
      </c>
      <c r="G34" s="51"/>
      <c r="H34" s="51"/>
      <c r="I34" s="54"/>
    </row>
    <row r="35" spans="2:9" ht="18.75">
      <c r="B35" s="143">
        <v>24</v>
      </c>
      <c r="C35" s="189" t="s">
        <v>157</v>
      </c>
      <c r="D35" s="189"/>
      <c r="F35" s="51" t="s">
        <v>134</v>
      </c>
      <c r="G35" s="51"/>
      <c r="H35" s="51"/>
      <c r="I35" s="54"/>
    </row>
    <row r="36" spans="2:9" ht="18.75">
      <c r="B36" s="143">
        <v>25</v>
      </c>
      <c r="C36" s="189" t="s">
        <v>158</v>
      </c>
      <c r="D36" s="189"/>
      <c r="F36" s="51" t="s">
        <v>134</v>
      </c>
      <c r="G36" s="51"/>
      <c r="H36" s="51"/>
      <c r="I36" s="54"/>
    </row>
    <row r="37" spans="2:9" ht="18.75">
      <c r="B37" s="143">
        <v>26</v>
      </c>
      <c r="C37" s="189" t="s">
        <v>159</v>
      </c>
      <c r="D37" s="189"/>
      <c r="F37" s="51" t="s">
        <v>134</v>
      </c>
      <c r="G37" s="51"/>
      <c r="H37" s="51"/>
      <c r="I37" s="54"/>
    </row>
    <row r="38" spans="2:9" ht="18.75">
      <c r="B38" s="143">
        <v>27</v>
      </c>
      <c r="C38" s="189" t="s">
        <v>160</v>
      </c>
      <c r="D38" s="189"/>
      <c r="F38" s="51" t="s">
        <v>134</v>
      </c>
      <c r="G38" s="51"/>
      <c r="H38" s="51"/>
      <c r="I38" s="54"/>
    </row>
    <row r="39" spans="2:9" ht="18.75">
      <c r="B39" s="143">
        <v>28</v>
      </c>
      <c r="C39" s="189" t="s">
        <v>161</v>
      </c>
      <c r="D39" s="189"/>
      <c r="F39" s="51" t="s">
        <v>134</v>
      </c>
      <c r="G39" s="51"/>
      <c r="H39" s="51"/>
      <c r="I39" s="54"/>
    </row>
    <row r="40" spans="2:9" ht="18.75">
      <c r="B40" s="143">
        <v>29</v>
      </c>
      <c r="C40" s="189" t="s">
        <v>162</v>
      </c>
      <c r="D40" s="189"/>
      <c r="F40" s="51" t="s">
        <v>134</v>
      </c>
      <c r="G40" s="51"/>
      <c r="H40" s="51"/>
      <c r="I40" s="54"/>
    </row>
    <row r="41" spans="2:9" ht="18.75">
      <c r="B41" s="143">
        <v>30</v>
      </c>
      <c r="C41" s="189" t="s">
        <v>163</v>
      </c>
      <c r="D41" s="189"/>
      <c r="F41" s="51" t="s">
        <v>134</v>
      </c>
      <c r="G41" s="51"/>
      <c r="H41" s="51"/>
      <c r="I41" s="54"/>
    </row>
    <row r="42" spans="2:9" ht="18.75">
      <c r="B42" s="143">
        <v>31</v>
      </c>
      <c r="C42" s="189" t="s">
        <v>164</v>
      </c>
      <c r="D42" s="189"/>
      <c r="F42" s="51" t="s">
        <v>134</v>
      </c>
      <c r="G42" s="51"/>
      <c r="H42" s="51"/>
      <c r="I42" s="54"/>
    </row>
    <row r="43" spans="2:9" ht="18.75">
      <c r="B43" s="143">
        <v>32</v>
      </c>
      <c r="C43" s="189" t="s">
        <v>165</v>
      </c>
      <c r="D43" s="189"/>
      <c r="F43" s="51" t="s">
        <v>134</v>
      </c>
      <c r="G43" s="51"/>
      <c r="H43" s="51"/>
      <c r="I43" s="54"/>
    </row>
    <row r="44" spans="2:9" ht="18.75">
      <c r="B44" s="143">
        <v>33</v>
      </c>
      <c r="C44" s="189" t="s">
        <v>166</v>
      </c>
      <c r="D44" s="189"/>
      <c r="F44" s="51" t="s">
        <v>134</v>
      </c>
      <c r="G44" s="51"/>
      <c r="H44" s="51"/>
      <c r="I44" s="54"/>
    </row>
    <row r="45" spans="2:9" ht="18.75">
      <c r="B45" s="143">
        <v>34</v>
      </c>
      <c r="C45" s="189" t="s">
        <v>167</v>
      </c>
      <c r="D45" s="189"/>
      <c r="F45" s="51" t="s">
        <v>134</v>
      </c>
      <c r="G45" s="51"/>
      <c r="H45" s="51"/>
      <c r="I45" s="54"/>
    </row>
    <row r="46" spans="2:9" ht="18.75">
      <c r="B46" s="143">
        <v>35</v>
      </c>
      <c r="C46" s="189" t="s">
        <v>168</v>
      </c>
      <c r="D46" s="189"/>
      <c r="F46" s="51" t="s">
        <v>134</v>
      </c>
      <c r="G46" s="51"/>
      <c r="H46" s="51"/>
      <c r="I46" s="54"/>
    </row>
    <row r="47" spans="2:9" ht="18.75">
      <c r="B47" s="143">
        <v>36</v>
      </c>
      <c r="C47" s="189" t="s">
        <v>169</v>
      </c>
      <c r="D47" s="189"/>
      <c r="F47" s="51" t="s">
        <v>134</v>
      </c>
      <c r="G47" s="51"/>
      <c r="H47" s="51"/>
      <c r="I47" s="54"/>
    </row>
    <row r="48" spans="2:9" ht="18.75">
      <c r="B48" s="143">
        <v>37</v>
      </c>
      <c r="C48" s="195" t="s">
        <v>170</v>
      </c>
      <c r="D48" s="196"/>
      <c r="F48" s="51" t="s">
        <v>134</v>
      </c>
      <c r="G48" s="51"/>
      <c r="H48" s="51"/>
      <c r="I48" s="54"/>
    </row>
    <row r="49" spans="2:9" ht="18.75">
      <c r="B49" s="143">
        <v>38</v>
      </c>
      <c r="C49" s="189" t="s">
        <v>171</v>
      </c>
      <c r="D49" s="189"/>
      <c r="F49" s="51" t="s">
        <v>134</v>
      </c>
      <c r="G49" s="51"/>
      <c r="H49" s="51"/>
      <c r="I49" s="54"/>
    </row>
    <row r="50" spans="2:9" ht="18.75">
      <c r="B50" s="143">
        <v>39</v>
      </c>
      <c r="C50" s="195" t="s">
        <v>172</v>
      </c>
      <c r="D50" s="196"/>
      <c r="F50" s="51" t="s">
        <v>134</v>
      </c>
      <c r="G50" s="51"/>
      <c r="H50" s="51"/>
      <c r="I50" s="54"/>
    </row>
    <row r="51" spans="2:9" ht="18.75">
      <c r="B51" s="143">
        <v>40</v>
      </c>
      <c r="C51" s="189" t="s">
        <v>173</v>
      </c>
      <c r="D51" s="189"/>
      <c r="F51" s="51" t="s">
        <v>134</v>
      </c>
      <c r="G51" s="51"/>
      <c r="H51" s="51"/>
      <c r="I51" s="54"/>
    </row>
    <row r="52" spans="2:9" ht="18.75">
      <c r="B52" s="143">
        <v>41</v>
      </c>
      <c r="C52" s="195" t="s">
        <v>174</v>
      </c>
      <c r="D52" s="196"/>
      <c r="F52" s="51" t="s">
        <v>134</v>
      </c>
      <c r="G52" s="51"/>
      <c r="H52" s="51"/>
      <c r="I52" s="54"/>
    </row>
    <row r="53" spans="2:9" ht="18.75">
      <c r="B53" s="143">
        <v>42</v>
      </c>
      <c r="C53" s="189" t="s">
        <v>175</v>
      </c>
      <c r="D53" s="189"/>
      <c r="F53" s="51" t="s">
        <v>134</v>
      </c>
      <c r="G53" s="51"/>
      <c r="H53" s="51"/>
      <c r="I53" s="54"/>
    </row>
    <row r="54" spans="2:9" ht="18.75">
      <c r="B54" s="143">
        <v>43</v>
      </c>
      <c r="C54" s="195" t="s">
        <v>176</v>
      </c>
      <c r="D54" s="196"/>
      <c r="F54" s="51" t="s">
        <v>134</v>
      </c>
      <c r="G54" s="51"/>
      <c r="H54" s="51"/>
      <c r="I54" s="54"/>
    </row>
    <row r="55" spans="2:9" ht="18.75">
      <c r="B55" s="143">
        <v>44</v>
      </c>
      <c r="C55" s="189" t="s">
        <v>177</v>
      </c>
      <c r="D55" s="189"/>
      <c r="F55" s="51" t="s">
        <v>134</v>
      </c>
      <c r="G55" s="51"/>
      <c r="H55" s="51"/>
      <c r="I55" s="54"/>
    </row>
    <row r="56" spans="2:9" ht="18.75">
      <c r="B56" s="143">
        <v>45</v>
      </c>
      <c r="C56" s="195" t="s">
        <v>178</v>
      </c>
      <c r="D56" s="196"/>
      <c r="F56" s="51" t="s">
        <v>134</v>
      </c>
      <c r="G56" s="51"/>
      <c r="H56" s="51"/>
      <c r="I56" s="54"/>
    </row>
    <row r="57" spans="2:9" ht="18.75">
      <c r="B57" s="143">
        <v>46</v>
      </c>
      <c r="C57" s="189" t="s">
        <v>179</v>
      </c>
      <c r="D57" s="189"/>
      <c r="F57" s="51" t="s">
        <v>134</v>
      </c>
      <c r="G57" s="51"/>
      <c r="H57" s="51"/>
      <c r="I57" s="54"/>
    </row>
    <row r="58" spans="2:9" ht="18.75">
      <c r="B58" s="143">
        <v>47</v>
      </c>
      <c r="C58" s="195" t="s">
        <v>180</v>
      </c>
      <c r="D58" s="196"/>
      <c r="F58" s="51" t="s">
        <v>134</v>
      </c>
      <c r="G58" s="51"/>
      <c r="H58" s="51"/>
      <c r="I58" s="54"/>
    </row>
    <row r="59" spans="2:9" ht="18.75">
      <c r="B59" s="143">
        <v>48</v>
      </c>
      <c r="C59" s="189" t="s">
        <v>181</v>
      </c>
      <c r="D59" s="189"/>
      <c r="F59" s="51" t="s">
        <v>134</v>
      </c>
      <c r="G59" s="51"/>
      <c r="H59" s="51"/>
      <c r="I59" s="54"/>
    </row>
    <row r="60" spans="2:9" ht="18.75">
      <c r="B60" s="143">
        <v>49</v>
      </c>
      <c r="C60" s="195" t="s">
        <v>182</v>
      </c>
      <c r="D60" s="196"/>
      <c r="F60" s="51" t="s">
        <v>134</v>
      </c>
      <c r="G60" s="51"/>
      <c r="H60" s="51"/>
      <c r="I60" s="54"/>
    </row>
    <row r="61" spans="2:9" ht="18.75">
      <c r="B61" s="143">
        <v>50</v>
      </c>
      <c r="C61" s="189" t="s">
        <v>183</v>
      </c>
      <c r="D61" s="189"/>
      <c r="F61" s="51" t="s">
        <v>134</v>
      </c>
      <c r="G61" s="51"/>
      <c r="H61" s="51"/>
      <c r="I61" s="54"/>
    </row>
    <row r="62" spans="2:9" ht="18.75">
      <c r="B62" s="143">
        <v>51</v>
      </c>
      <c r="C62" s="195" t="s">
        <v>184</v>
      </c>
      <c r="D62" s="196"/>
      <c r="F62" s="51" t="s">
        <v>134</v>
      </c>
      <c r="G62" s="51"/>
      <c r="H62" s="51"/>
      <c r="I62" s="54"/>
    </row>
    <row r="63" spans="2:9" ht="18.75">
      <c r="B63" s="143">
        <v>52</v>
      </c>
      <c r="C63" s="189" t="s">
        <v>185</v>
      </c>
      <c r="D63" s="189"/>
      <c r="F63" s="51" t="s">
        <v>134</v>
      </c>
      <c r="G63" s="51"/>
      <c r="H63" s="51"/>
      <c r="I63" s="54"/>
    </row>
    <row r="64" spans="2:9" ht="18.75">
      <c r="B64" s="143">
        <v>53</v>
      </c>
      <c r="C64" s="195" t="s">
        <v>186</v>
      </c>
      <c r="D64" s="196"/>
      <c r="F64" s="51" t="s">
        <v>134</v>
      </c>
      <c r="G64" s="51"/>
      <c r="H64" s="51"/>
      <c r="I64" s="54"/>
    </row>
    <row r="65" spans="2:9" ht="18.75">
      <c r="B65" s="143">
        <v>54</v>
      </c>
      <c r="C65" s="189" t="s">
        <v>187</v>
      </c>
      <c r="D65" s="189"/>
      <c r="F65" s="51" t="s">
        <v>134</v>
      </c>
      <c r="G65" s="51"/>
      <c r="H65" s="51"/>
      <c r="I65" s="54"/>
    </row>
    <row r="66" spans="2:9" ht="18.75">
      <c r="B66" s="143">
        <v>55</v>
      </c>
      <c r="C66" s="195" t="s">
        <v>188</v>
      </c>
      <c r="D66" s="196"/>
      <c r="F66" s="51" t="s">
        <v>134</v>
      </c>
      <c r="G66" s="51"/>
      <c r="H66" s="51"/>
      <c r="I66" s="54"/>
    </row>
    <row r="67" spans="2:9" ht="18.75">
      <c r="B67" s="143">
        <v>56</v>
      </c>
      <c r="C67" s="189" t="s">
        <v>189</v>
      </c>
      <c r="D67" s="189"/>
      <c r="F67" s="51" t="s">
        <v>134</v>
      </c>
      <c r="G67" s="51"/>
      <c r="H67" s="51"/>
      <c r="I67" s="54"/>
    </row>
    <row r="68" spans="2:9" ht="18.75">
      <c r="B68" s="143">
        <v>57</v>
      </c>
      <c r="C68" s="195" t="s">
        <v>190</v>
      </c>
      <c r="D68" s="196"/>
      <c r="F68" s="51" t="s">
        <v>134</v>
      </c>
      <c r="G68" s="51"/>
      <c r="H68" s="51"/>
      <c r="I68" s="54"/>
    </row>
    <row r="69" spans="2:9" ht="18.75">
      <c r="B69" s="143">
        <v>58</v>
      </c>
      <c r="C69" s="189" t="s">
        <v>191</v>
      </c>
      <c r="D69" s="189"/>
      <c r="F69" s="51" t="s">
        <v>134</v>
      </c>
      <c r="G69" s="51"/>
      <c r="H69" s="51"/>
      <c r="I69" s="54"/>
    </row>
    <row r="70" spans="2:9" ht="18.75">
      <c r="B70" s="143">
        <v>59</v>
      </c>
      <c r="C70" s="195" t="s">
        <v>192</v>
      </c>
      <c r="D70" s="196"/>
      <c r="F70" s="51" t="s">
        <v>134</v>
      </c>
      <c r="G70" s="51"/>
      <c r="H70" s="51"/>
      <c r="I70" s="54"/>
    </row>
    <row r="71" spans="2:9" ht="18.75">
      <c r="B71" s="143">
        <v>60</v>
      </c>
      <c r="C71" s="189" t="s">
        <v>193</v>
      </c>
      <c r="D71" s="189"/>
      <c r="F71" s="51" t="s">
        <v>134</v>
      </c>
      <c r="G71" s="51"/>
      <c r="H71" s="51"/>
      <c r="I71" s="54"/>
    </row>
    <row r="72" spans="2:9" ht="18.75">
      <c r="B72" s="143">
        <v>61</v>
      </c>
      <c r="C72" s="195" t="s">
        <v>194</v>
      </c>
      <c r="D72" s="196"/>
      <c r="F72" s="51" t="s">
        <v>134</v>
      </c>
      <c r="G72" s="51"/>
      <c r="H72" s="51"/>
      <c r="I72" s="54"/>
    </row>
    <row r="73" spans="2:9" ht="18.75">
      <c r="B73" s="143">
        <v>62</v>
      </c>
      <c r="C73" s="189" t="s">
        <v>195</v>
      </c>
      <c r="D73" s="189"/>
      <c r="F73" s="51" t="s">
        <v>134</v>
      </c>
      <c r="G73" s="51"/>
      <c r="H73" s="51"/>
      <c r="I73" s="54"/>
    </row>
    <row r="74" spans="2:9" ht="18.75">
      <c r="B74" s="143">
        <v>63</v>
      </c>
      <c r="C74" s="195" t="s">
        <v>196</v>
      </c>
      <c r="D74" s="196"/>
      <c r="F74" s="51" t="s">
        <v>134</v>
      </c>
      <c r="G74" s="51"/>
      <c r="H74" s="51"/>
      <c r="I74" s="54"/>
    </row>
    <row r="75" spans="2:9" ht="18.75">
      <c r="B75" s="143">
        <v>64</v>
      </c>
      <c r="C75" s="189" t="s">
        <v>197</v>
      </c>
      <c r="D75" s="189"/>
      <c r="F75" s="51" t="s">
        <v>134</v>
      </c>
      <c r="G75" s="51"/>
      <c r="H75" s="51"/>
      <c r="I75" s="54"/>
    </row>
    <row r="76" spans="2:9" ht="18.75">
      <c r="B76" s="143">
        <v>65</v>
      </c>
      <c r="C76" s="195" t="s">
        <v>198</v>
      </c>
      <c r="D76" s="196"/>
      <c r="F76" s="51" t="s">
        <v>134</v>
      </c>
      <c r="G76" s="51"/>
      <c r="H76" s="51"/>
      <c r="I76" s="54"/>
    </row>
    <row r="77" spans="2:9" ht="18.75">
      <c r="B77" s="143">
        <v>66</v>
      </c>
      <c r="C77" s="189" t="s">
        <v>199</v>
      </c>
      <c r="D77" s="189"/>
      <c r="F77" s="51" t="s">
        <v>134</v>
      </c>
      <c r="G77" s="51"/>
      <c r="H77" s="51"/>
      <c r="I77" s="54"/>
    </row>
    <row r="78" spans="2:9" ht="18.75">
      <c r="B78" s="143">
        <v>67</v>
      </c>
      <c r="C78" s="195" t="s">
        <v>200</v>
      </c>
      <c r="D78" s="196"/>
      <c r="F78" s="51" t="s">
        <v>134</v>
      </c>
      <c r="G78" s="51"/>
      <c r="H78" s="51"/>
      <c r="I78" s="54"/>
    </row>
    <row r="79" spans="2:9" ht="18.75">
      <c r="B79" s="143">
        <v>68</v>
      </c>
      <c r="C79" s="189" t="s">
        <v>201</v>
      </c>
      <c r="D79" s="189"/>
      <c r="F79" s="51" t="s">
        <v>134</v>
      </c>
      <c r="G79" s="51"/>
      <c r="H79" s="51"/>
      <c r="I79" s="54"/>
    </row>
    <row r="80" spans="2:9" ht="18.75">
      <c r="B80" s="143">
        <v>69</v>
      </c>
      <c r="C80" s="195" t="s">
        <v>202</v>
      </c>
      <c r="D80" s="196"/>
      <c r="F80" s="51" t="s">
        <v>134</v>
      </c>
      <c r="G80" s="51"/>
      <c r="H80" s="51"/>
      <c r="I80" s="54"/>
    </row>
    <row r="81" spans="2:9" ht="18.75">
      <c r="B81" s="143">
        <v>70</v>
      </c>
      <c r="C81" s="189" t="s">
        <v>203</v>
      </c>
      <c r="D81" s="189"/>
      <c r="F81" s="51" t="s">
        <v>134</v>
      </c>
      <c r="G81" s="51"/>
      <c r="H81" s="51"/>
      <c r="I81" s="54"/>
    </row>
    <row r="82" spans="2:9" ht="18.75">
      <c r="B82" s="143">
        <v>71</v>
      </c>
      <c r="C82" s="195" t="s">
        <v>204</v>
      </c>
      <c r="D82" s="196"/>
      <c r="F82" s="51" t="s">
        <v>134</v>
      </c>
      <c r="G82" s="51"/>
      <c r="H82" s="51"/>
      <c r="I82" s="54"/>
    </row>
    <row r="83" spans="2:9" ht="18.75">
      <c r="B83" s="143">
        <v>72</v>
      </c>
      <c r="C83" s="189" t="s">
        <v>205</v>
      </c>
      <c r="D83" s="189"/>
      <c r="F83" s="51" t="s">
        <v>134</v>
      </c>
      <c r="G83" s="51"/>
      <c r="H83" s="51"/>
      <c r="I83" s="54"/>
    </row>
    <row r="84" spans="2:9" ht="18.75">
      <c r="B84" s="143">
        <v>73</v>
      </c>
      <c r="C84" s="195" t="s">
        <v>206</v>
      </c>
      <c r="D84" s="196"/>
      <c r="F84" s="51" t="s">
        <v>134</v>
      </c>
      <c r="G84" s="51"/>
      <c r="H84" s="51"/>
      <c r="I84" s="54"/>
    </row>
    <row r="85" spans="2:9" ht="18.75">
      <c r="B85" s="143">
        <v>74</v>
      </c>
      <c r="C85" s="195" t="s">
        <v>207</v>
      </c>
      <c r="D85" s="196"/>
      <c r="F85" s="51" t="s">
        <v>134</v>
      </c>
      <c r="G85" s="51"/>
      <c r="H85" s="51"/>
      <c r="I85" s="54"/>
    </row>
    <row r="86" spans="2:9" ht="18.75">
      <c r="B86" s="143">
        <v>75</v>
      </c>
      <c r="C86" s="189" t="s">
        <v>208</v>
      </c>
      <c r="D86" s="189"/>
      <c r="F86" s="51" t="s">
        <v>134</v>
      </c>
      <c r="G86" s="51"/>
      <c r="H86" s="51"/>
      <c r="I86" s="54"/>
    </row>
    <row r="87" spans="2:9" ht="18.75">
      <c r="B87" s="143">
        <v>76</v>
      </c>
      <c r="C87" s="195" t="s">
        <v>209</v>
      </c>
      <c r="D87" s="196"/>
      <c r="F87" s="51" t="s">
        <v>134</v>
      </c>
      <c r="G87" s="51"/>
      <c r="H87" s="51"/>
      <c r="I87" s="54"/>
    </row>
    <row r="88" spans="2:9" ht="18.75">
      <c r="B88" s="143">
        <v>77</v>
      </c>
      <c r="C88" s="195" t="s">
        <v>210</v>
      </c>
      <c r="D88" s="196"/>
      <c r="F88" s="51" t="s">
        <v>134</v>
      </c>
      <c r="G88" s="51"/>
      <c r="H88" s="51"/>
      <c r="I88" s="54"/>
    </row>
    <row r="89" spans="2:9" ht="18.75">
      <c r="B89" s="143">
        <v>78</v>
      </c>
      <c r="C89" s="189" t="s">
        <v>211</v>
      </c>
      <c r="D89" s="189"/>
      <c r="F89" s="51" t="s">
        <v>134</v>
      </c>
      <c r="G89" s="51"/>
      <c r="H89" s="51"/>
      <c r="I89" s="54"/>
    </row>
    <row r="90" spans="2:9" ht="18.75">
      <c r="B90" s="143">
        <v>79</v>
      </c>
      <c r="C90" s="195" t="s">
        <v>212</v>
      </c>
      <c r="D90" s="196"/>
      <c r="F90" s="51" t="s">
        <v>134</v>
      </c>
      <c r="G90" s="51"/>
      <c r="H90" s="51"/>
      <c r="I90" s="54"/>
    </row>
    <row r="91" spans="2:9" ht="18.75">
      <c r="B91" s="143">
        <v>80</v>
      </c>
      <c r="C91" s="195" t="s">
        <v>213</v>
      </c>
      <c r="D91" s="196"/>
      <c r="F91" s="51" t="s">
        <v>134</v>
      </c>
      <c r="G91" s="51"/>
      <c r="H91" s="51"/>
      <c r="I91" s="54"/>
    </row>
    <row r="92" spans="2:9" ht="18.75">
      <c r="B92" s="143">
        <v>81</v>
      </c>
      <c r="C92" s="189" t="s">
        <v>214</v>
      </c>
      <c r="D92" s="189"/>
      <c r="F92" s="51" t="s">
        <v>134</v>
      </c>
      <c r="G92" s="51"/>
      <c r="H92" s="51"/>
      <c r="I92" s="54"/>
    </row>
    <row r="93" spans="2:9" ht="18.75">
      <c r="B93" s="143">
        <v>82</v>
      </c>
      <c r="C93" s="195" t="s">
        <v>215</v>
      </c>
      <c r="D93" s="196"/>
      <c r="F93" s="51" t="s">
        <v>134</v>
      </c>
      <c r="G93" s="51"/>
      <c r="H93" s="51"/>
      <c r="I93" s="54"/>
    </row>
    <row r="94" spans="2:9" ht="18.75">
      <c r="B94" s="143">
        <v>83</v>
      </c>
      <c r="C94" s="195" t="s">
        <v>216</v>
      </c>
      <c r="D94" s="196"/>
      <c r="F94" s="51" t="s">
        <v>134</v>
      </c>
      <c r="G94" s="51"/>
      <c r="H94" s="51"/>
      <c r="I94" s="54"/>
    </row>
    <row r="95" spans="2:9" ht="18.75">
      <c r="B95" s="143">
        <v>84</v>
      </c>
      <c r="C95" s="189" t="s">
        <v>217</v>
      </c>
      <c r="D95" s="189"/>
      <c r="F95" s="51" t="s">
        <v>134</v>
      </c>
      <c r="G95" s="51"/>
      <c r="H95" s="51"/>
      <c r="I95" s="54"/>
    </row>
    <row r="96" spans="2:9" ht="18.75">
      <c r="B96" s="143">
        <v>85</v>
      </c>
      <c r="C96" s="195" t="s">
        <v>218</v>
      </c>
      <c r="D96" s="196"/>
      <c r="F96" s="51" t="s">
        <v>134</v>
      </c>
      <c r="G96" s="51"/>
      <c r="H96" s="51"/>
      <c r="I96" s="54"/>
    </row>
    <row r="97" spans="2:9" ht="18.75">
      <c r="B97" s="143">
        <v>86</v>
      </c>
      <c r="C97" s="195" t="s">
        <v>219</v>
      </c>
      <c r="D97" s="196"/>
      <c r="F97" s="51" t="s">
        <v>134</v>
      </c>
      <c r="G97" s="51"/>
      <c r="H97" s="51"/>
      <c r="I97" s="54"/>
    </row>
    <row r="98" spans="2:9" ht="18.75">
      <c r="B98" s="143">
        <v>87</v>
      </c>
      <c r="C98" s="189" t="s">
        <v>220</v>
      </c>
      <c r="D98" s="189"/>
      <c r="F98" s="51" t="s">
        <v>134</v>
      </c>
      <c r="G98" s="51"/>
      <c r="H98" s="51"/>
      <c r="I98" s="54"/>
    </row>
    <row r="99" spans="2:9" ht="18.75">
      <c r="B99" s="143">
        <v>88</v>
      </c>
      <c r="C99" s="195" t="s">
        <v>221</v>
      </c>
      <c r="D99" s="196"/>
      <c r="F99" s="51" t="s">
        <v>134</v>
      </c>
      <c r="G99" s="51"/>
      <c r="H99" s="51"/>
      <c r="I99" s="54"/>
    </row>
    <row r="100" spans="2:9" ht="18.75">
      <c r="B100" s="143">
        <v>89</v>
      </c>
      <c r="C100" s="195" t="s">
        <v>222</v>
      </c>
      <c r="D100" s="196"/>
      <c r="F100" s="51" t="s">
        <v>134</v>
      </c>
      <c r="G100" s="51"/>
      <c r="H100" s="51"/>
      <c r="I100" s="54"/>
    </row>
    <row r="101" spans="2:9" ht="18.75">
      <c r="B101" s="143">
        <v>90</v>
      </c>
      <c r="C101" s="189" t="s">
        <v>223</v>
      </c>
      <c r="D101" s="189"/>
      <c r="F101" s="51" t="s">
        <v>134</v>
      </c>
      <c r="G101" s="51"/>
      <c r="H101" s="51"/>
      <c r="I101" s="54"/>
    </row>
    <row r="102" spans="2:9" ht="18.75">
      <c r="B102" s="143">
        <v>91</v>
      </c>
      <c r="C102" s="195" t="s">
        <v>224</v>
      </c>
      <c r="D102" s="196"/>
      <c r="F102" s="51" t="s">
        <v>134</v>
      </c>
      <c r="G102" s="51"/>
      <c r="H102" s="51"/>
      <c r="I102" s="54"/>
    </row>
    <row r="103" spans="2:9" ht="18.75">
      <c r="B103" s="143">
        <v>92</v>
      </c>
      <c r="C103" s="195" t="s">
        <v>225</v>
      </c>
      <c r="D103" s="196"/>
      <c r="F103" s="51" t="s">
        <v>134</v>
      </c>
      <c r="G103" s="51"/>
      <c r="H103" s="51"/>
      <c r="I103" s="54"/>
    </row>
    <row r="104" spans="2:9" ht="18.75">
      <c r="B104" s="143">
        <v>93</v>
      </c>
      <c r="C104" s="189" t="s">
        <v>226</v>
      </c>
      <c r="D104" s="189"/>
      <c r="F104" s="51" t="s">
        <v>134</v>
      </c>
      <c r="G104" s="51"/>
      <c r="H104" s="51"/>
      <c r="I104" s="54"/>
    </row>
    <row r="105" spans="2:9" ht="18.75">
      <c r="B105" s="143">
        <v>94</v>
      </c>
      <c r="C105" s="195" t="s">
        <v>227</v>
      </c>
      <c r="D105" s="196"/>
      <c r="F105" s="51" t="s">
        <v>134</v>
      </c>
      <c r="G105" s="51"/>
      <c r="H105" s="51"/>
      <c r="I105" s="54"/>
    </row>
    <row r="106" spans="2:9" ht="18.75">
      <c r="B106" s="143">
        <v>95</v>
      </c>
      <c r="C106" s="195" t="s">
        <v>228</v>
      </c>
      <c r="D106" s="196"/>
      <c r="F106" s="51" t="s">
        <v>134</v>
      </c>
      <c r="G106" s="51"/>
      <c r="H106" s="51"/>
      <c r="I106" s="54"/>
    </row>
    <row r="107" spans="2:9" ht="18.75">
      <c r="B107" s="143">
        <v>96</v>
      </c>
      <c r="C107" s="189" t="s">
        <v>229</v>
      </c>
      <c r="D107" s="189"/>
      <c r="F107" s="51" t="s">
        <v>134</v>
      </c>
      <c r="G107" s="51"/>
      <c r="H107" s="51"/>
      <c r="I107" s="54"/>
    </row>
    <row r="108" spans="2:9" ht="18.75">
      <c r="B108" s="143">
        <v>97</v>
      </c>
      <c r="C108" s="195" t="s">
        <v>230</v>
      </c>
      <c r="D108" s="196"/>
      <c r="F108" s="51" t="s">
        <v>134</v>
      </c>
      <c r="G108" s="51"/>
      <c r="H108" s="51"/>
      <c r="I108" s="54"/>
    </row>
    <row r="109" spans="2:9" ht="18.75">
      <c r="B109" s="143">
        <v>98</v>
      </c>
      <c r="C109" s="195" t="s">
        <v>231</v>
      </c>
      <c r="D109" s="196"/>
      <c r="F109" s="51" t="s">
        <v>134</v>
      </c>
      <c r="G109" s="51"/>
      <c r="H109" s="51"/>
      <c r="I109" s="54"/>
    </row>
    <row r="110" spans="2:9" ht="18.75">
      <c r="B110" s="143">
        <v>99</v>
      </c>
      <c r="C110" s="189" t="s">
        <v>232</v>
      </c>
      <c r="D110" s="189"/>
      <c r="F110" s="51" t="s">
        <v>134</v>
      </c>
      <c r="G110" s="51"/>
      <c r="H110" s="51"/>
      <c r="I110" s="54"/>
    </row>
    <row r="111" spans="2:9" ht="18.75">
      <c r="B111" s="143"/>
      <c r="C111" s="195"/>
      <c r="D111" s="196"/>
      <c r="F111" s="51"/>
      <c r="G111" s="51"/>
      <c r="H111" s="51"/>
      <c r="I111" s="54"/>
    </row>
    <row r="112" spans="2:9" ht="18.75">
      <c r="B112" s="143"/>
      <c r="C112" s="195"/>
      <c r="D112" s="196"/>
      <c r="F112" s="51"/>
      <c r="G112" s="51"/>
      <c r="H112" s="51"/>
      <c r="I112" s="54"/>
    </row>
    <row r="113" spans="2:9" ht="18.75">
      <c r="B113" s="143"/>
      <c r="C113" s="189"/>
      <c r="D113" s="189"/>
      <c r="F113" s="51"/>
      <c r="G113" s="51"/>
      <c r="H113" s="51"/>
      <c r="I113" s="54"/>
    </row>
    <row r="114" spans="2:9" ht="18.75">
      <c r="B114" s="143"/>
      <c r="C114" s="195"/>
      <c r="D114" s="196"/>
      <c r="F114" s="51"/>
      <c r="G114" s="51"/>
      <c r="H114" s="51"/>
      <c r="I114" s="54"/>
    </row>
    <row r="115" spans="2:9" ht="18.75">
      <c r="B115" s="143"/>
      <c r="C115" s="195"/>
      <c r="D115" s="196"/>
      <c r="F115" s="51"/>
      <c r="G115" s="51"/>
      <c r="H115" s="51"/>
      <c r="I115" s="54"/>
    </row>
    <row r="116" spans="2:9" ht="18.75">
      <c r="B116" s="143"/>
      <c r="C116" s="189"/>
      <c r="D116" s="189"/>
      <c r="F116" s="51"/>
      <c r="G116" s="51"/>
      <c r="H116" s="51"/>
      <c r="I116" s="54"/>
    </row>
    <row r="117" spans="2:9" ht="18.75">
      <c r="B117" s="143"/>
      <c r="C117" s="195"/>
      <c r="D117" s="196"/>
      <c r="F117" s="51"/>
      <c r="G117" s="51"/>
      <c r="H117" s="51"/>
      <c r="I117" s="54"/>
    </row>
    <row r="118" spans="2:9" ht="18.75">
      <c r="B118" s="143"/>
      <c r="C118" s="195"/>
      <c r="D118" s="196"/>
      <c r="F118" s="51"/>
      <c r="G118" s="51"/>
      <c r="H118" s="51"/>
      <c r="I118" s="54"/>
    </row>
    <row r="119" spans="2:9" ht="18.75">
      <c r="B119" s="143"/>
      <c r="C119" s="189"/>
      <c r="D119" s="189"/>
      <c r="F119" s="51"/>
      <c r="G119" s="51"/>
      <c r="H119" s="51"/>
      <c r="I119" s="54"/>
    </row>
    <row r="120" spans="2:9" ht="18.75">
      <c r="B120" s="143"/>
      <c r="C120" s="195"/>
      <c r="D120" s="196"/>
      <c r="F120" s="51"/>
      <c r="G120" s="51"/>
      <c r="H120" s="51"/>
      <c r="I120" s="54"/>
    </row>
    <row r="121" spans="2:9" ht="18.75">
      <c r="B121" s="143"/>
      <c r="C121" s="195"/>
      <c r="D121" s="196"/>
      <c r="F121" s="51"/>
      <c r="G121" s="51"/>
      <c r="H121" s="51"/>
      <c r="I121" s="54"/>
    </row>
    <row r="122" spans="2:9" ht="18.75">
      <c r="B122" s="143"/>
      <c r="C122" s="189"/>
      <c r="D122" s="189"/>
      <c r="F122" s="51"/>
      <c r="G122" s="51"/>
      <c r="H122" s="51"/>
      <c r="I122" s="54"/>
    </row>
    <row r="123" spans="2:9" ht="18.75">
      <c r="B123" s="143"/>
      <c r="C123" s="195"/>
      <c r="D123" s="196"/>
      <c r="F123" s="51"/>
      <c r="G123" s="51"/>
      <c r="H123" s="51"/>
      <c r="I123" s="54"/>
    </row>
    <row r="124" spans="2:9" ht="18.75">
      <c r="B124" s="143"/>
      <c r="C124" s="195"/>
      <c r="D124" s="196"/>
      <c r="F124" s="51"/>
      <c r="G124" s="51"/>
      <c r="H124" s="51"/>
      <c r="I124" s="54"/>
    </row>
    <row r="125" spans="2:9" ht="18.75">
      <c r="B125" s="143"/>
      <c r="C125" s="189"/>
      <c r="D125" s="189"/>
      <c r="F125" s="51"/>
      <c r="G125" s="51"/>
      <c r="H125" s="51"/>
      <c r="I125" s="54"/>
    </row>
    <row r="126" spans="2:9" ht="18.75">
      <c r="B126" s="143"/>
      <c r="C126" s="195"/>
      <c r="D126" s="196"/>
      <c r="F126" s="51"/>
      <c r="G126" s="51"/>
      <c r="H126" s="51"/>
      <c r="I126" s="54"/>
    </row>
    <row r="127" spans="2:9" ht="18.75">
      <c r="B127" s="143"/>
      <c r="C127" s="195"/>
      <c r="D127" s="196"/>
      <c r="F127" s="51"/>
      <c r="G127" s="51"/>
      <c r="H127" s="51"/>
      <c r="I127" s="54"/>
    </row>
    <row r="128" spans="2:9" ht="18.75">
      <c r="B128" s="143"/>
      <c r="C128" s="189"/>
      <c r="D128" s="189"/>
      <c r="F128" s="51"/>
      <c r="G128" s="51"/>
      <c r="H128" s="51"/>
      <c r="I128" s="54"/>
    </row>
    <row r="129" spans="2:9" ht="18.75">
      <c r="B129" s="143"/>
      <c r="C129" s="195"/>
      <c r="D129" s="196"/>
      <c r="F129" s="51"/>
      <c r="G129" s="51"/>
      <c r="H129" s="51"/>
      <c r="I129" s="54"/>
    </row>
    <row r="130" spans="2:9" ht="18.75">
      <c r="B130" s="143"/>
      <c r="C130" s="195"/>
      <c r="D130" s="196"/>
      <c r="F130" s="51"/>
      <c r="G130" s="51"/>
      <c r="H130" s="51"/>
      <c r="I130" s="54"/>
    </row>
    <row r="131" spans="2:9" ht="18.75">
      <c r="B131" s="143"/>
      <c r="C131" s="189"/>
      <c r="D131" s="189"/>
      <c r="F131" s="51"/>
      <c r="G131" s="51"/>
      <c r="H131" s="51"/>
      <c r="I131" s="54"/>
    </row>
    <row r="132" spans="2:9" ht="18.75">
      <c r="B132" s="143"/>
      <c r="C132" s="195"/>
      <c r="D132" s="196"/>
      <c r="F132" s="51"/>
      <c r="G132" s="51"/>
      <c r="H132" s="51"/>
      <c r="I132" s="54"/>
    </row>
    <row r="133" spans="2:9" ht="18.75">
      <c r="B133" s="143"/>
      <c r="C133" s="195"/>
      <c r="D133" s="196"/>
      <c r="F133" s="51"/>
      <c r="G133" s="51"/>
      <c r="H133" s="51"/>
      <c r="I133" s="54"/>
    </row>
    <row r="134" spans="2:9" ht="18.75">
      <c r="B134" s="143"/>
      <c r="C134" s="189"/>
      <c r="D134" s="189"/>
      <c r="F134" s="51"/>
      <c r="G134" s="51"/>
      <c r="H134" s="51"/>
      <c r="I134" s="54"/>
    </row>
    <row r="135" spans="2:9" ht="18.75">
      <c r="B135" s="143"/>
      <c r="C135" s="195"/>
      <c r="D135" s="196"/>
      <c r="F135" s="51"/>
      <c r="G135" s="51"/>
      <c r="H135" s="51"/>
      <c r="I135" s="54"/>
    </row>
    <row r="136" spans="2:9" ht="18.75">
      <c r="B136" s="143"/>
      <c r="C136" s="195"/>
      <c r="D136" s="196"/>
      <c r="F136" s="51"/>
      <c r="G136" s="51"/>
      <c r="H136" s="51"/>
      <c r="I136" s="54"/>
    </row>
    <row r="137" spans="2:9" ht="18.75">
      <c r="B137" s="143"/>
      <c r="C137" s="189"/>
      <c r="D137" s="189"/>
      <c r="F137" s="51"/>
      <c r="G137" s="51"/>
      <c r="H137" s="51"/>
      <c r="I137" s="54"/>
    </row>
    <row r="138" spans="2:9" ht="18.75">
      <c r="B138" s="143"/>
      <c r="C138" s="195"/>
      <c r="D138" s="196"/>
      <c r="F138" s="51"/>
      <c r="G138" s="51"/>
      <c r="H138" s="51"/>
      <c r="I138" s="54"/>
    </row>
    <row r="139" spans="2:9" ht="18.75">
      <c r="B139" s="143"/>
      <c r="C139" s="195"/>
      <c r="D139" s="196"/>
      <c r="F139" s="51"/>
      <c r="G139" s="51"/>
      <c r="H139" s="51"/>
      <c r="I139" s="54"/>
    </row>
    <row r="140" spans="2:9" ht="18.75">
      <c r="B140" s="143"/>
      <c r="C140" s="189"/>
      <c r="D140" s="189"/>
      <c r="F140" s="51"/>
      <c r="G140" s="51"/>
      <c r="H140" s="51"/>
      <c r="I140" s="54"/>
    </row>
    <row r="141" spans="2:9" ht="18.75">
      <c r="B141" s="143"/>
      <c r="C141" s="195"/>
      <c r="D141" s="196"/>
      <c r="F141" s="51"/>
      <c r="G141" s="51"/>
      <c r="H141" s="51"/>
      <c r="I141" s="54"/>
    </row>
    <row r="142" spans="2:9" ht="18.75">
      <c r="B142" s="143"/>
      <c r="C142" s="195"/>
      <c r="D142" s="196"/>
      <c r="F142" s="51"/>
      <c r="G142" s="51"/>
      <c r="H142" s="51"/>
      <c r="I142" s="54"/>
    </row>
    <row r="143" spans="2:9" ht="18.75">
      <c r="B143" s="143"/>
      <c r="C143" s="189"/>
      <c r="D143" s="189"/>
      <c r="F143" s="51"/>
      <c r="G143" s="51"/>
      <c r="H143" s="51"/>
      <c r="I143" s="54"/>
    </row>
    <row r="144" spans="2:9" ht="18.75">
      <c r="B144" s="143"/>
      <c r="C144" s="195"/>
      <c r="D144" s="196"/>
      <c r="F144" s="51"/>
      <c r="G144" s="51"/>
      <c r="H144" s="51"/>
      <c r="I144" s="54"/>
    </row>
  </sheetData>
  <mergeCells count="143">
    <mergeCell ref="C143:D143"/>
    <mergeCell ref="C144:D144"/>
    <mergeCell ref="C138:D138"/>
    <mergeCell ref="C139:D139"/>
    <mergeCell ref="C140:D140"/>
    <mergeCell ref="C141:D141"/>
    <mergeCell ref="C142:D142"/>
    <mergeCell ref="C133:D133"/>
    <mergeCell ref="C134:D134"/>
    <mergeCell ref="C135:D135"/>
    <mergeCell ref="C136:D136"/>
    <mergeCell ref="C137:D137"/>
    <mergeCell ref="C128:D128"/>
    <mergeCell ref="C129:D129"/>
    <mergeCell ref="C130:D130"/>
    <mergeCell ref="C131:D131"/>
    <mergeCell ref="C132:D132"/>
    <mergeCell ref="C123:D123"/>
    <mergeCell ref="C124:D124"/>
    <mergeCell ref="C125:D125"/>
    <mergeCell ref="C126:D126"/>
    <mergeCell ref="C127:D127"/>
    <mergeCell ref="C118:D118"/>
    <mergeCell ref="C119:D119"/>
    <mergeCell ref="C120:D120"/>
    <mergeCell ref="C121:D121"/>
    <mergeCell ref="C122:D122"/>
    <mergeCell ref="C113:D113"/>
    <mergeCell ref="C114:D114"/>
    <mergeCell ref="C115:D115"/>
    <mergeCell ref="C116:D116"/>
    <mergeCell ref="C117:D117"/>
    <mergeCell ref="C108:D108"/>
    <mergeCell ref="C109:D109"/>
    <mergeCell ref="C110:D110"/>
    <mergeCell ref="C111:D111"/>
    <mergeCell ref="C112:D112"/>
    <mergeCell ref="C103:D103"/>
    <mergeCell ref="C104:D104"/>
    <mergeCell ref="C105:D105"/>
    <mergeCell ref="C106:D106"/>
    <mergeCell ref="C107:D107"/>
    <mergeCell ref="C98:D98"/>
    <mergeCell ref="C99:D99"/>
    <mergeCell ref="C100:D100"/>
    <mergeCell ref="C101:D101"/>
    <mergeCell ref="C102:D102"/>
    <mergeCell ref="C93:D93"/>
    <mergeCell ref="C94:D94"/>
    <mergeCell ref="C95:D95"/>
    <mergeCell ref="C96:D96"/>
    <mergeCell ref="C97:D97"/>
    <mergeCell ref="C88:D88"/>
    <mergeCell ref="C89:D89"/>
    <mergeCell ref="C90:D90"/>
    <mergeCell ref="C91:D91"/>
    <mergeCell ref="C92:D92"/>
    <mergeCell ref="C83:D83"/>
    <mergeCell ref="C84:D84"/>
    <mergeCell ref="C85:D85"/>
    <mergeCell ref="C86:D86"/>
    <mergeCell ref="C87:D87"/>
    <mergeCell ref="C78:D78"/>
    <mergeCell ref="C79:D79"/>
    <mergeCell ref="C80:D80"/>
    <mergeCell ref="C81:D81"/>
    <mergeCell ref="C82:D82"/>
    <mergeCell ref="C73:D73"/>
    <mergeCell ref="C74:D74"/>
    <mergeCell ref="C75:D75"/>
    <mergeCell ref="C76:D76"/>
    <mergeCell ref="C77:D77"/>
    <mergeCell ref="C68:D68"/>
    <mergeCell ref="C69:D69"/>
    <mergeCell ref="C70:D70"/>
    <mergeCell ref="C71:D71"/>
    <mergeCell ref="C72:D72"/>
    <mergeCell ref="C63:D63"/>
    <mergeCell ref="C64:D64"/>
    <mergeCell ref="C65:D65"/>
    <mergeCell ref="C66:D66"/>
    <mergeCell ref="C67:D67"/>
    <mergeCell ref="C58:D58"/>
    <mergeCell ref="C59:D59"/>
    <mergeCell ref="C60:D60"/>
    <mergeCell ref="C61:D61"/>
    <mergeCell ref="C62:D62"/>
    <mergeCell ref="C53:D53"/>
    <mergeCell ref="C54:D54"/>
    <mergeCell ref="C55:D55"/>
    <mergeCell ref="C56:D56"/>
    <mergeCell ref="C57:D57"/>
    <mergeCell ref="B7:C7"/>
    <mergeCell ref="C49:D49"/>
    <mergeCell ref="C50:D50"/>
    <mergeCell ref="C51:D51"/>
    <mergeCell ref="C52:D52"/>
    <mergeCell ref="B2:I2"/>
    <mergeCell ref="K2:L2"/>
    <mergeCell ref="C4:D4"/>
    <mergeCell ref="C5:D5"/>
    <mergeCell ref="C6:D6"/>
    <mergeCell ref="C19:D19"/>
    <mergeCell ref="F9:H9"/>
    <mergeCell ref="I9:I10"/>
    <mergeCell ref="B10:D10"/>
    <mergeCell ref="C11:D11"/>
    <mergeCell ref="C12:D12"/>
    <mergeCell ref="C13:D13"/>
    <mergeCell ref="C14:D14"/>
    <mergeCell ref="C15:D15"/>
    <mergeCell ref="C16:D16"/>
    <mergeCell ref="C17:D17"/>
    <mergeCell ref="C18:D18"/>
    <mergeCell ref="C31:D31"/>
    <mergeCell ref="C20:D20"/>
    <mergeCell ref="C21:D21"/>
    <mergeCell ref="C22:D22"/>
    <mergeCell ref="C23:D23"/>
    <mergeCell ref="C24:D24"/>
    <mergeCell ref="C25:D25"/>
    <mergeCell ref="C26:D26"/>
    <mergeCell ref="C27:D27"/>
    <mergeCell ref="C28:D28"/>
    <mergeCell ref="C29:D29"/>
    <mergeCell ref="C44:D44"/>
    <mergeCell ref="C45:D45"/>
    <mergeCell ref="C46:D46"/>
    <mergeCell ref="C47:D47"/>
    <mergeCell ref="C48:D48"/>
    <mergeCell ref="C30:D30"/>
    <mergeCell ref="C43:D43"/>
    <mergeCell ref="C32:D32"/>
    <mergeCell ref="C33:D33"/>
    <mergeCell ref="C34:D34"/>
    <mergeCell ref="C35:D35"/>
    <mergeCell ref="C36:D36"/>
    <mergeCell ref="C37:D37"/>
    <mergeCell ref="C38:D38"/>
    <mergeCell ref="C39:D39"/>
    <mergeCell ref="C40:D40"/>
    <mergeCell ref="C41:D41"/>
    <mergeCell ref="C42:D42"/>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5B7E1-9FAF-4CE5-912A-DC4E8BD7898B}">
  <sheetPr>
    <tabColor theme="4" tint="-0.499984740745262"/>
  </sheetPr>
  <dimension ref="A2:L37"/>
  <sheetViews>
    <sheetView zoomScale="85" zoomScaleNormal="85" workbookViewId="0">
      <selection activeCell="C19" sqref="C19:D19"/>
    </sheetView>
  </sheetViews>
  <sheetFormatPr defaultColWidth="11.42578125" defaultRowHeight="15"/>
  <cols>
    <col min="1" max="1" width="2.85546875" customWidth="1"/>
    <col min="2" max="2" width="4.140625" customWidth="1"/>
    <col min="3" max="3" width="14.42578125" customWidth="1"/>
    <col min="4" max="4" width="121.5703125" customWidth="1"/>
    <col min="5" max="5" width="4.28515625" customWidth="1"/>
    <col min="6" max="8" width="7.140625" customWidth="1"/>
    <col min="9" max="9" width="85.7109375" customWidth="1"/>
    <col min="10" max="10" width="11.42578125" customWidth="1"/>
    <col min="11" max="11" width="14.140625" bestFit="1" customWidth="1"/>
  </cols>
  <sheetData>
    <row r="2" spans="1:12" ht="21.75" customHeight="1">
      <c r="B2" s="180" t="s">
        <v>66</v>
      </c>
      <c r="C2" s="181"/>
      <c r="D2" s="181"/>
      <c r="E2" s="181"/>
      <c r="F2" s="181"/>
      <c r="G2" s="181"/>
      <c r="H2" s="181"/>
      <c r="I2" s="181"/>
      <c r="K2" s="199" t="s">
        <v>2</v>
      </c>
      <c r="L2" s="200"/>
    </row>
    <row r="3" spans="1:12" ht="15" customHeight="1">
      <c r="B3" s="4"/>
      <c r="C3" s="4"/>
      <c r="D3" s="4"/>
      <c r="K3" s="54" t="s">
        <v>67</v>
      </c>
      <c r="L3" s="57">
        <f>COUNT(B12:D99)</f>
        <v>4</v>
      </c>
    </row>
    <row r="4" spans="1:12" ht="15.75">
      <c r="B4" s="17" t="s">
        <v>68</v>
      </c>
      <c r="C4" s="358" t="s">
        <v>69</v>
      </c>
      <c r="D4" s="358"/>
      <c r="K4" s="54" t="s">
        <v>15</v>
      </c>
      <c r="L4" s="57">
        <f>COUNTIF(F12:F99,"X")</f>
        <v>0</v>
      </c>
    </row>
    <row r="5" spans="1:12" ht="15.75">
      <c r="B5" s="17" t="s">
        <v>70</v>
      </c>
      <c r="C5" s="358" t="s">
        <v>71</v>
      </c>
      <c r="D5" s="358"/>
    </row>
    <row r="6" spans="1:12" ht="15.75">
      <c r="B6" s="17" t="s">
        <v>72</v>
      </c>
      <c r="C6" s="358" t="s">
        <v>73</v>
      </c>
      <c r="D6" s="358"/>
      <c r="K6" s="54" t="s">
        <v>74</v>
      </c>
      <c r="L6" s="57">
        <f>_xlfn.PERCENTOF(L4,L3)</f>
        <v>0</v>
      </c>
    </row>
    <row r="7" spans="1:12" ht="15.75">
      <c r="B7" s="182" t="s">
        <v>75</v>
      </c>
      <c r="C7" s="182"/>
      <c r="D7" s="18" t="s">
        <v>76</v>
      </c>
    </row>
    <row r="8" spans="1:12" ht="15.75">
      <c r="B8" s="19"/>
      <c r="C8" s="19"/>
      <c r="D8" s="18"/>
    </row>
    <row r="9" spans="1:12">
      <c r="F9" s="183" t="s">
        <v>77</v>
      </c>
      <c r="G9" s="184"/>
      <c r="H9" s="185"/>
      <c r="I9" s="186" t="s">
        <v>78</v>
      </c>
    </row>
    <row r="10" spans="1:12" ht="20.25" customHeight="1">
      <c r="B10" s="199" t="s">
        <v>233</v>
      </c>
      <c r="C10" s="200"/>
      <c r="D10" s="200"/>
      <c r="E10" s="1"/>
      <c r="F10" s="14" t="s">
        <v>68</v>
      </c>
      <c r="G10" s="15" t="s">
        <v>70</v>
      </c>
      <c r="H10" s="15" t="s">
        <v>72</v>
      </c>
      <c r="I10" s="186"/>
      <c r="J10" s="3"/>
    </row>
    <row r="11" spans="1:12" ht="11.25" customHeight="1">
      <c r="B11" s="35"/>
      <c r="C11" s="359"/>
      <c r="D11" s="359"/>
      <c r="I11" s="55"/>
    </row>
    <row r="12" spans="1:12" ht="18.75">
      <c r="A12" s="37"/>
      <c r="B12" s="135">
        <v>1</v>
      </c>
      <c r="C12" s="204" t="s">
        <v>234</v>
      </c>
      <c r="D12" s="175"/>
      <c r="E12" s="2"/>
      <c r="F12" s="51"/>
      <c r="G12" s="51"/>
      <c r="H12" s="51" t="s">
        <v>81</v>
      </c>
      <c r="I12" s="54"/>
    </row>
    <row r="13" spans="1:12" ht="18.75">
      <c r="A13" s="37"/>
      <c r="B13" s="135">
        <v>2</v>
      </c>
      <c r="C13" s="206" t="s">
        <v>235</v>
      </c>
      <c r="D13" s="176"/>
      <c r="E13" s="2"/>
      <c r="F13" s="51"/>
      <c r="G13" s="51"/>
      <c r="H13" s="51" t="s">
        <v>81</v>
      </c>
      <c r="I13" s="54"/>
    </row>
    <row r="14" spans="1:12" ht="18.75">
      <c r="A14" s="37"/>
      <c r="B14" s="135">
        <v>3</v>
      </c>
      <c r="C14" s="204" t="s">
        <v>236</v>
      </c>
      <c r="D14" s="175"/>
      <c r="E14" s="2"/>
      <c r="F14" s="51"/>
      <c r="G14" s="51"/>
      <c r="H14" s="51" t="s">
        <v>81</v>
      </c>
      <c r="I14" s="54"/>
    </row>
    <row r="15" spans="1:12" ht="18.75">
      <c r="A15" s="37"/>
      <c r="B15" s="135">
        <v>4</v>
      </c>
      <c r="C15" s="204" t="s">
        <v>237</v>
      </c>
      <c r="D15" s="175"/>
      <c r="E15" s="2"/>
      <c r="F15" s="51"/>
      <c r="G15" s="51"/>
      <c r="H15" s="51" t="s">
        <v>81</v>
      </c>
      <c r="I15" s="54"/>
    </row>
    <row r="16" spans="1:12" ht="18.75">
      <c r="A16" s="37"/>
      <c r="B16" s="136"/>
      <c r="C16" s="206"/>
      <c r="D16" s="176"/>
      <c r="E16" s="2"/>
      <c r="F16" s="51"/>
      <c r="G16" s="51"/>
      <c r="H16" s="51" t="s">
        <v>81</v>
      </c>
      <c r="I16" s="54"/>
    </row>
    <row r="17" spans="1:9" ht="18.75">
      <c r="A17" s="37"/>
      <c r="B17" s="136"/>
      <c r="C17" s="204"/>
      <c r="D17" s="175"/>
      <c r="F17" s="51"/>
      <c r="G17" s="51"/>
      <c r="H17" s="51" t="s">
        <v>81</v>
      </c>
      <c r="I17" s="54"/>
    </row>
    <row r="18" spans="1:9" ht="18.75">
      <c r="A18" s="37"/>
      <c r="B18" s="136"/>
      <c r="C18" s="204"/>
      <c r="D18" s="175"/>
      <c r="F18" s="51"/>
      <c r="G18" s="51"/>
      <c r="H18" s="51" t="s">
        <v>81</v>
      </c>
      <c r="I18" s="54"/>
    </row>
    <row r="19" spans="1:9" ht="18.75">
      <c r="A19" s="37"/>
      <c r="B19" s="136"/>
      <c r="C19" s="204"/>
      <c r="D19" s="175"/>
      <c r="F19" s="51"/>
      <c r="G19" s="51"/>
      <c r="H19" s="51" t="s">
        <v>81</v>
      </c>
      <c r="I19" s="54"/>
    </row>
    <row r="20" spans="1:9" ht="18.75">
      <c r="A20" s="37"/>
      <c r="B20" s="136"/>
      <c r="C20" s="204"/>
      <c r="D20" s="175"/>
      <c r="F20" s="51"/>
      <c r="G20" s="51"/>
      <c r="H20" s="51" t="s">
        <v>81</v>
      </c>
      <c r="I20" s="54"/>
    </row>
    <row r="21" spans="1:9" ht="18.75">
      <c r="A21" s="37"/>
      <c r="B21" s="136"/>
      <c r="C21" s="204"/>
      <c r="D21" s="175"/>
      <c r="F21" s="51"/>
      <c r="G21" s="51"/>
      <c r="H21" s="51" t="s">
        <v>81</v>
      </c>
      <c r="I21" s="54"/>
    </row>
    <row r="22" spans="1:9" ht="18.75">
      <c r="A22" s="37"/>
      <c r="B22" s="136"/>
      <c r="C22" s="204"/>
      <c r="D22" s="175"/>
      <c r="F22" s="51"/>
      <c r="G22" s="51"/>
      <c r="H22" s="51" t="s">
        <v>81</v>
      </c>
      <c r="I22" s="54"/>
    </row>
    <row r="23" spans="1:9" ht="18.75">
      <c r="A23" s="37"/>
      <c r="B23" s="136"/>
      <c r="C23" s="204"/>
      <c r="D23" s="175"/>
      <c r="F23" s="51"/>
      <c r="G23" s="51"/>
      <c r="H23" s="51" t="s">
        <v>81</v>
      </c>
      <c r="I23" s="54"/>
    </row>
    <row r="24" spans="1:9" ht="18.75">
      <c r="A24" s="37"/>
      <c r="B24" s="137"/>
      <c r="C24" s="205"/>
      <c r="D24" s="193"/>
      <c r="F24" s="51"/>
      <c r="G24" s="51"/>
      <c r="H24" s="51" t="s">
        <v>81</v>
      </c>
      <c r="I24" s="54"/>
    </row>
    <row r="25" spans="1:9" ht="18.75">
      <c r="A25" s="37"/>
      <c r="B25" s="137"/>
      <c r="C25" s="201"/>
      <c r="D25" s="189"/>
      <c r="F25" s="58"/>
      <c r="G25" s="56"/>
      <c r="H25" s="51" t="s">
        <v>81</v>
      </c>
      <c r="I25" s="56"/>
    </row>
    <row r="26" spans="1:9" ht="18.75">
      <c r="B26" s="137"/>
      <c r="C26" s="201"/>
      <c r="D26" s="192"/>
      <c r="F26" s="51"/>
      <c r="G26" s="53"/>
      <c r="H26" s="51" t="s">
        <v>81</v>
      </c>
      <c r="I26" s="53"/>
    </row>
    <row r="27" spans="1:9" ht="18.75">
      <c r="B27" s="137"/>
      <c r="C27" s="201"/>
      <c r="D27" s="189"/>
      <c r="F27" s="51"/>
      <c r="G27" s="53"/>
      <c r="H27" s="51" t="s">
        <v>81</v>
      </c>
      <c r="I27" s="53"/>
    </row>
    <row r="28" spans="1:9" ht="18.75">
      <c r="B28" s="137"/>
      <c r="C28" s="201"/>
      <c r="D28" s="189"/>
      <c r="F28" s="51"/>
      <c r="G28" s="53"/>
      <c r="H28" s="51" t="s">
        <v>81</v>
      </c>
      <c r="I28" s="53"/>
    </row>
    <row r="29" spans="1:9" ht="18.75">
      <c r="B29" s="137"/>
      <c r="C29" s="201"/>
      <c r="D29" s="189"/>
      <c r="F29" s="51"/>
      <c r="G29" s="53"/>
      <c r="H29" s="51" t="s">
        <v>81</v>
      </c>
      <c r="I29" s="53"/>
    </row>
    <row r="30" spans="1:9" ht="18.75">
      <c r="B30" s="137"/>
      <c r="C30" s="202"/>
      <c r="D30" s="203"/>
      <c r="F30" s="51"/>
      <c r="G30" s="53"/>
      <c r="H30" s="51" t="s">
        <v>81</v>
      </c>
      <c r="I30" s="53"/>
    </row>
    <row r="31" spans="1:9" ht="18.75">
      <c r="B31" s="137"/>
      <c r="C31" s="198"/>
      <c r="D31" s="177"/>
    </row>
    <row r="32" spans="1:9" ht="18.75" customHeight="1">
      <c r="B32" s="137"/>
      <c r="C32" s="198"/>
      <c r="D32" s="177"/>
    </row>
    <row r="33" spans="2:4" ht="18.75">
      <c r="B33" s="137"/>
      <c r="C33" s="198"/>
      <c r="D33" s="177"/>
    </row>
    <row r="34" spans="2:4" ht="18.75">
      <c r="B34" s="137"/>
      <c r="C34" s="198"/>
      <c r="D34" s="177"/>
    </row>
    <row r="35" spans="2:4" ht="18.75">
      <c r="B35" s="137"/>
      <c r="C35" s="198"/>
      <c r="D35" s="177"/>
    </row>
    <row r="36" spans="2:4" ht="18.75">
      <c r="B36" s="137"/>
      <c r="C36" s="198"/>
      <c r="D36" s="177"/>
    </row>
    <row r="37" spans="2:4" ht="18.75">
      <c r="C37" s="198"/>
      <c r="D37" s="177"/>
    </row>
  </sheetData>
  <mergeCells count="36">
    <mergeCell ref="B2:I2"/>
    <mergeCell ref="C4:D4"/>
    <mergeCell ref="C5:D5"/>
    <mergeCell ref="C6:D6"/>
    <mergeCell ref="B7:C7"/>
    <mergeCell ref="C14:D14"/>
    <mergeCell ref="C20:D20"/>
    <mergeCell ref="F9:H9"/>
    <mergeCell ref="I9:I10"/>
    <mergeCell ref="B10:D10"/>
    <mergeCell ref="C15:D15"/>
    <mergeCell ref="C16:D16"/>
    <mergeCell ref="C17:D17"/>
    <mergeCell ref="C18:D18"/>
    <mergeCell ref="C19:D19"/>
    <mergeCell ref="C37:D37"/>
    <mergeCell ref="C36:D36"/>
    <mergeCell ref="K2:L2"/>
    <mergeCell ref="C28:D28"/>
    <mergeCell ref="C29:D29"/>
    <mergeCell ref="C30:D30"/>
    <mergeCell ref="C22:D22"/>
    <mergeCell ref="C23:D23"/>
    <mergeCell ref="C24:D24"/>
    <mergeCell ref="C25:D25"/>
    <mergeCell ref="C26:D26"/>
    <mergeCell ref="C27:D27"/>
    <mergeCell ref="C21:D21"/>
    <mergeCell ref="C11:D11"/>
    <mergeCell ref="C12:D12"/>
    <mergeCell ref="C13:D13"/>
    <mergeCell ref="C31:D31"/>
    <mergeCell ref="C32:D32"/>
    <mergeCell ref="C33:D33"/>
    <mergeCell ref="C34:D34"/>
    <mergeCell ref="C35:D35"/>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1D8F-A842-4B71-94B1-48C479B4D415}">
  <sheetPr>
    <tabColor theme="4" tint="-0.499984740745262"/>
  </sheetPr>
  <dimension ref="A2:L28"/>
  <sheetViews>
    <sheetView tabSelected="1" topLeftCell="U1" zoomScale="85" zoomScaleNormal="85" workbookViewId="0">
      <selection activeCell="AD9" sqref="AD9"/>
    </sheetView>
  </sheetViews>
  <sheetFormatPr defaultColWidth="11.42578125" defaultRowHeight="15"/>
  <cols>
    <col min="1" max="1" width="2.85546875" customWidth="1"/>
    <col min="2" max="2" width="4.140625" customWidth="1"/>
    <col min="3" max="3" width="14.42578125" customWidth="1"/>
    <col min="4" max="4" width="121.5703125" customWidth="1"/>
    <col min="5" max="5" width="4.28515625" customWidth="1"/>
    <col min="6" max="8" width="7.140625" customWidth="1"/>
    <col min="9" max="9" width="85.7109375" customWidth="1"/>
    <col min="10" max="10" width="11.42578125" customWidth="1"/>
    <col min="11" max="11" width="14.140625" bestFit="1" customWidth="1"/>
  </cols>
  <sheetData>
    <row r="2" spans="1:12" ht="21.75" customHeight="1">
      <c r="B2" s="180" t="s">
        <v>66</v>
      </c>
      <c r="C2" s="181"/>
      <c r="D2" s="181"/>
      <c r="E2" s="181"/>
      <c r="F2" s="181"/>
      <c r="G2" s="181"/>
      <c r="H2" s="181"/>
      <c r="I2" s="181"/>
      <c r="K2" s="199" t="s">
        <v>2</v>
      </c>
      <c r="L2" s="200"/>
    </row>
    <row r="3" spans="1:12" ht="15" customHeight="1">
      <c r="B3" s="4"/>
      <c r="C3" s="4"/>
      <c r="D3" s="4"/>
      <c r="K3" s="54" t="s">
        <v>67</v>
      </c>
      <c r="L3" s="57">
        <f>COUNT(B12:D28)</f>
        <v>16</v>
      </c>
    </row>
    <row r="4" spans="1:12" ht="15.75">
      <c r="B4" s="17" t="s">
        <v>68</v>
      </c>
      <c r="C4" s="358" t="s">
        <v>69</v>
      </c>
      <c r="D4" s="358"/>
      <c r="K4" s="54" t="s">
        <v>15</v>
      </c>
      <c r="L4" s="57">
        <f>COUNTIF(F12:F28,"X")</f>
        <v>0</v>
      </c>
    </row>
    <row r="5" spans="1:12" ht="15.75">
      <c r="B5" s="17" t="s">
        <v>70</v>
      </c>
      <c r="C5" s="358" t="s">
        <v>71</v>
      </c>
      <c r="D5" s="358"/>
    </row>
    <row r="6" spans="1:12" ht="15.75">
      <c r="B6" s="17" t="s">
        <v>72</v>
      </c>
      <c r="C6" s="358" t="s">
        <v>73</v>
      </c>
      <c r="D6" s="358"/>
      <c r="K6" s="54" t="s">
        <v>74</v>
      </c>
      <c r="L6" s="57">
        <f>_xlfn.PERCENTOF(L4,L3)</f>
        <v>0</v>
      </c>
    </row>
    <row r="7" spans="1:12" ht="15.75">
      <c r="B7" s="182" t="s">
        <v>75</v>
      </c>
      <c r="C7" s="182"/>
      <c r="D7" s="18" t="s">
        <v>76</v>
      </c>
    </row>
    <row r="8" spans="1:12" ht="15.75">
      <c r="B8" s="19"/>
      <c r="C8" s="19"/>
      <c r="D8" s="18"/>
    </row>
    <row r="9" spans="1:12">
      <c r="F9" s="183" t="s">
        <v>77</v>
      </c>
      <c r="G9" s="184"/>
      <c r="H9" s="185"/>
      <c r="I9" s="186" t="s">
        <v>78</v>
      </c>
    </row>
    <row r="10" spans="1:12" ht="20.25" customHeight="1">
      <c r="B10" s="199" t="s">
        <v>238</v>
      </c>
      <c r="C10" s="200"/>
      <c r="D10" s="200"/>
      <c r="E10" s="1"/>
      <c r="F10" s="14" t="s">
        <v>68</v>
      </c>
      <c r="G10" s="15" t="s">
        <v>70</v>
      </c>
      <c r="H10" s="15" t="s">
        <v>72</v>
      </c>
      <c r="I10" s="186"/>
      <c r="J10" s="3"/>
    </row>
    <row r="11" spans="1:12" ht="11.25" customHeight="1">
      <c r="B11" s="35"/>
      <c r="C11" s="359"/>
      <c r="D11" s="359"/>
      <c r="I11" s="55"/>
    </row>
    <row r="12" spans="1:12" ht="31.5" customHeight="1">
      <c r="A12" s="37"/>
      <c r="B12" s="135">
        <v>1</v>
      </c>
      <c r="C12" s="204" t="s">
        <v>239</v>
      </c>
      <c r="D12" s="175"/>
      <c r="E12" s="2"/>
      <c r="F12" s="51"/>
      <c r="G12" s="51"/>
      <c r="H12" s="51" t="s">
        <v>81</v>
      </c>
      <c r="I12" s="54"/>
    </row>
    <row r="13" spans="1:12" ht="33" customHeight="1">
      <c r="A13" s="37"/>
      <c r="B13" s="135">
        <v>2</v>
      </c>
      <c r="C13" s="204" t="s">
        <v>240</v>
      </c>
      <c r="D13" s="175"/>
      <c r="E13" s="2"/>
      <c r="F13" s="51"/>
      <c r="G13" s="51"/>
      <c r="H13" s="51" t="s">
        <v>81</v>
      </c>
      <c r="I13" s="54"/>
    </row>
    <row r="14" spans="1:12" ht="24.75" customHeight="1">
      <c r="A14" s="37"/>
      <c r="B14" s="135">
        <v>3</v>
      </c>
      <c r="C14" s="204" t="s">
        <v>241</v>
      </c>
      <c r="D14" s="175"/>
      <c r="E14" s="2"/>
      <c r="F14" s="51"/>
      <c r="G14" s="51"/>
      <c r="H14" s="51" t="s">
        <v>81</v>
      </c>
      <c r="I14" s="54"/>
    </row>
    <row r="15" spans="1:12" ht="31.5" customHeight="1">
      <c r="A15" s="37"/>
      <c r="B15" s="135">
        <v>4</v>
      </c>
      <c r="C15" s="204" t="s">
        <v>242</v>
      </c>
      <c r="D15" s="175"/>
      <c r="E15" s="2"/>
      <c r="F15" s="51"/>
      <c r="G15" s="51"/>
      <c r="H15" s="51" t="s">
        <v>81</v>
      </c>
      <c r="I15" s="54"/>
    </row>
    <row r="16" spans="1:12" ht="24.75" customHeight="1">
      <c r="A16" s="37"/>
      <c r="B16" s="135">
        <v>5</v>
      </c>
      <c r="C16" s="204" t="s">
        <v>243</v>
      </c>
      <c r="D16" s="175"/>
      <c r="F16" s="51"/>
      <c r="G16" s="51"/>
      <c r="H16" s="51" t="s">
        <v>81</v>
      </c>
      <c r="I16" s="54"/>
    </row>
    <row r="17" spans="1:9" ht="33" customHeight="1">
      <c r="A17" s="37"/>
      <c r="B17" s="135">
        <v>6</v>
      </c>
      <c r="C17" s="212" t="s">
        <v>244</v>
      </c>
      <c r="D17" s="213"/>
      <c r="F17" s="51"/>
      <c r="G17" s="51"/>
      <c r="H17" s="51" t="s">
        <v>81</v>
      </c>
      <c r="I17" s="54"/>
    </row>
    <row r="18" spans="1:9" ht="24.75" customHeight="1">
      <c r="A18" s="37"/>
      <c r="B18" s="135">
        <v>7</v>
      </c>
      <c r="C18" s="204" t="s">
        <v>245</v>
      </c>
      <c r="D18" s="175"/>
      <c r="F18" s="51"/>
      <c r="G18" s="51"/>
      <c r="H18" s="51" t="s">
        <v>81</v>
      </c>
      <c r="I18" s="54"/>
    </row>
    <row r="19" spans="1:9" ht="34.5" customHeight="1">
      <c r="A19" s="37"/>
      <c r="B19" s="135">
        <v>8</v>
      </c>
      <c r="C19" s="204" t="s">
        <v>246</v>
      </c>
      <c r="D19" s="175"/>
      <c r="F19" s="51"/>
      <c r="G19" s="51"/>
      <c r="H19" s="51" t="s">
        <v>81</v>
      </c>
      <c r="I19" s="54"/>
    </row>
    <row r="20" spans="1:9" ht="24.75" customHeight="1">
      <c r="A20" s="37"/>
      <c r="B20" s="135">
        <v>9</v>
      </c>
      <c r="C20" s="204" t="s">
        <v>247</v>
      </c>
      <c r="D20" s="175"/>
      <c r="F20" s="51"/>
      <c r="G20" s="51"/>
      <c r="H20" s="51" t="s">
        <v>81</v>
      </c>
      <c r="I20" s="54"/>
    </row>
    <row r="21" spans="1:9" ht="24.75" customHeight="1">
      <c r="A21" s="37"/>
      <c r="B21" s="135">
        <v>10</v>
      </c>
      <c r="C21" s="204" t="s">
        <v>248</v>
      </c>
      <c r="D21" s="175"/>
      <c r="F21" s="51"/>
      <c r="G21" s="51"/>
      <c r="H21" s="51" t="s">
        <v>81</v>
      </c>
      <c r="I21" s="54"/>
    </row>
    <row r="22" spans="1:9" ht="24.75" customHeight="1">
      <c r="A22" s="37"/>
      <c r="B22" s="135">
        <v>11</v>
      </c>
      <c r="C22" s="207" t="s">
        <v>249</v>
      </c>
      <c r="D22" s="360"/>
      <c r="F22" s="51"/>
      <c r="G22" s="51"/>
      <c r="H22" s="51" t="s">
        <v>81</v>
      </c>
      <c r="I22" s="54"/>
    </row>
    <row r="23" spans="1:9" ht="33.75" customHeight="1">
      <c r="A23" s="37"/>
      <c r="B23" s="135">
        <v>12</v>
      </c>
      <c r="C23" s="207" t="s">
        <v>250</v>
      </c>
      <c r="D23" s="208"/>
      <c r="F23" s="58"/>
      <c r="G23" s="56"/>
      <c r="H23" s="58" t="s">
        <v>81</v>
      </c>
      <c r="I23" s="56"/>
    </row>
    <row r="24" spans="1:9" ht="24.75" customHeight="1">
      <c r="A24" s="37"/>
      <c r="B24" s="135">
        <v>13</v>
      </c>
      <c r="C24" s="208" t="s">
        <v>251</v>
      </c>
      <c r="D24" s="209"/>
      <c r="F24" s="51"/>
      <c r="G24" s="53"/>
      <c r="H24" s="51" t="s">
        <v>81</v>
      </c>
      <c r="I24" s="53"/>
    </row>
    <row r="25" spans="1:9" ht="24.75" customHeight="1">
      <c r="A25" s="37"/>
      <c r="B25" s="135">
        <v>14</v>
      </c>
      <c r="C25" s="207" t="s">
        <v>252</v>
      </c>
      <c r="D25" s="360"/>
      <c r="F25" s="51"/>
      <c r="G25" s="53"/>
      <c r="H25" s="51" t="s">
        <v>81</v>
      </c>
      <c r="I25" s="53"/>
    </row>
    <row r="26" spans="1:9" ht="18.75">
      <c r="B26" s="135">
        <v>15</v>
      </c>
      <c r="C26" s="208" t="s">
        <v>253</v>
      </c>
      <c r="D26" s="209"/>
      <c r="F26" s="51"/>
      <c r="G26" s="53"/>
      <c r="H26" s="51" t="s">
        <v>81</v>
      </c>
      <c r="I26" s="53"/>
    </row>
    <row r="27" spans="1:9" ht="18.75">
      <c r="B27" s="135">
        <v>16</v>
      </c>
      <c r="C27" s="210" t="s">
        <v>254</v>
      </c>
      <c r="D27" s="211"/>
      <c r="F27" s="51"/>
      <c r="G27" s="53"/>
      <c r="H27" s="51" t="s">
        <v>81</v>
      </c>
      <c r="I27" s="53"/>
    </row>
    <row r="28" spans="1:9" ht="18.75">
      <c r="B28" s="137"/>
      <c r="F28" s="51"/>
      <c r="G28" s="53"/>
      <c r="H28" s="51" t="s">
        <v>81</v>
      </c>
      <c r="I28" s="53"/>
    </row>
  </sheetData>
  <mergeCells count="26">
    <mergeCell ref="C16:D16"/>
    <mergeCell ref="C17:D17"/>
    <mergeCell ref="F9:H9"/>
    <mergeCell ref="I9:I10"/>
    <mergeCell ref="B10:D10"/>
    <mergeCell ref="B2:I2"/>
    <mergeCell ref="C4:D4"/>
    <mergeCell ref="C5:D5"/>
    <mergeCell ref="C6:D6"/>
    <mergeCell ref="B7:C7"/>
    <mergeCell ref="K2:L2"/>
    <mergeCell ref="C25:D25"/>
    <mergeCell ref="C26:D26"/>
    <mergeCell ref="C27:D27"/>
    <mergeCell ref="C20:D20"/>
    <mergeCell ref="C21:D21"/>
    <mergeCell ref="C22:D22"/>
    <mergeCell ref="C23:D23"/>
    <mergeCell ref="C24:D24"/>
    <mergeCell ref="C19:D19"/>
    <mergeCell ref="C11:D11"/>
    <mergeCell ref="C12:D12"/>
    <mergeCell ref="C13:D13"/>
    <mergeCell ref="C14:D14"/>
    <mergeCell ref="C15:D15"/>
    <mergeCell ref="C18:D18"/>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F460-09AC-4E81-AF19-C5B6A7972FEA}">
  <sheetPr>
    <tabColor rgb="FFFF0066"/>
  </sheetPr>
  <dimension ref="B2:L41"/>
  <sheetViews>
    <sheetView topLeftCell="K13" zoomScale="80" zoomScaleNormal="80" workbookViewId="0">
      <selection activeCell="K13" sqref="K13"/>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24" t="s">
        <v>2</v>
      </c>
      <c r="L2" s="225"/>
    </row>
    <row r="3" spans="2:12" ht="15" customHeight="1">
      <c r="K3" s="54" t="s">
        <v>67</v>
      </c>
      <c r="L3" s="57">
        <f>COUNT(B12:D100)</f>
        <v>30</v>
      </c>
    </row>
    <row r="4" spans="2:12" ht="15.75">
      <c r="B4" s="17" t="s">
        <v>68</v>
      </c>
      <c r="C4" s="358" t="s">
        <v>69</v>
      </c>
      <c r="D4" s="358"/>
      <c r="K4" s="54" t="s">
        <v>15</v>
      </c>
      <c r="L4" s="57">
        <f>COUNTIF(F12:F100,"X")</f>
        <v>0</v>
      </c>
    </row>
    <row r="5" spans="2:12" ht="15.75">
      <c r="B5" s="17" t="s">
        <v>70</v>
      </c>
      <c r="C5" s="358" t="s">
        <v>71</v>
      </c>
      <c r="D5" s="358"/>
    </row>
    <row r="6" spans="2:12" ht="15.75">
      <c r="B6" s="17" t="s">
        <v>72</v>
      </c>
      <c r="C6" s="358" t="s">
        <v>73</v>
      </c>
      <c r="D6" s="358"/>
      <c r="K6" s="54" t="s">
        <v>74</v>
      </c>
      <c r="L6" s="57">
        <f>_xlfn.PERCENTOF(L4,L3)</f>
        <v>0</v>
      </c>
    </row>
    <row r="7" spans="2:12" ht="15.75">
      <c r="B7" s="226" t="s">
        <v>75</v>
      </c>
      <c r="C7" s="226"/>
      <c r="D7" s="18" t="s">
        <v>76</v>
      </c>
    </row>
    <row r="8" spans="2:12" ht="15.75">
      <c r="B8" s="19"/>
      <c r="C8" s="19"/>
      <c r="D8" s="18"/>
    </row>
    <row r="9" spans="2:12">
      <c r="F9" s="183" t="s">
        <v>77</v>
      </c>
      <c r="G9" s="184"/>
      <c r="H9" s="185"/>
      <c r="I9" s="186" t="s">
        <v>255</v>
      </c>
    </row>
    <row r="10" spans="2:12" ht="21.75" customHeight="1">
      <c r="B10" s="227" t="s">
        <v>256</v>
      </c>
      <c r="C10" s="227"/>
      <c r="D10" s="227"/>
      <c r="E10" s="1"/>
      <c r="F10" s="14" t="s">
        <v>68</v>
      </c>
      <c r="G10" s="15" t="s">
        <v>70</v>
      </c>
      <c r="H10" s="15" t="s">
        <v>72</v>
      </c>
      <c r="I10" s="186"/>
      <c r="J10" s="3"/>
    </row>
    <row r="11" spans="2:12" ht="11.25" customHeight="1">
      <c r="C11" s="361"/>
      <c r="D11" s="362"/>
      <c r="F11" s="13"/>
      <c r="G11" s="13"/>
      <c r="H11" s="13"/>
      <c r="I11" s="13"/>
    </row>
    <row r="12" spans="2:12" ht="18.75">
      <c r="B12" s="59">
        <v>1</v>
      </c>
      <c r="C12" s="222" t="s">
        <v>257</v>
      </c>
      <c r="D12" s="223"/>
      <c r="E12" s="2"/>
      <c r="F12" s="12"/>
      <c r="G12" s="12"/>
      <c r="H12" s="50" t="s">
        <v>81</v>
      </c>
      <c r="I12" s="9"/>
    </row>
    <row r="13" spans="2:12" ht="18.75" customHeight="1">
      <c r="B13" s="60">
        <v>2</v>
      </c>
      <c r="C13" s="218" t="s">
        <v>258</v>
      </c>
      <c r="D13" s="219"/>
      <c r="E13" s="2"/>
      <c r="F13" s="12"/>
      <c r="G13" s="12"/>
      <c r="H13" s="50" t="s">
        <v>81</v>
      </c>
      <c r="I13" s="9"/>
    </row>
    <row r="14" spans="2:12" ht="18.75">
      <c r="B14" s="60">
        <v>3</v>
      </c>
      <c r="C14" s="220" t="s">
        <v>259</v>
      </c>
      <c r="D14" s="221"/>
      <c r="E14" s="2"/>
      <c r="F14" s="12"/>
      <c r="G14" s="12"/>
      <c r="H14" s="50" t="s">
        <v>81</v>
      </c>
      <c r="I14" s="9"/>
    </row>
    <row r="15" spans="2:12" ht="18.75">
      <c r="B15" s="61">
        <v>4</v>
      </c>
      <c r="C15" s="218" t="s">
        <v>260</v>
      </c>
      <c r="D15" s="219"/>
      <c r="E15" s="2"/>
      <c r="F15" s="11"/>
      <c r="G15" s="11"/>
      <c r="H15" s="50" t="s">
        <v>81</v>
      </c>
      <c r="I15" s="10"/>
    </row>
    <row r="16" spans="2:12" ht="18.75">
      <c r="B16" s="61">
        <v>5</v>
      </c>
      <c r="C16" s="214" t="s">
        <v>261</v>
      </c>
      <c r="D16" s="215"/>
      <c r="F16" s="54"/>
      <c r="G16" s="54"/>
      <c r="H16" s="50" t="s">
        <v>81</v>
      </c>
      <c r="I16" s="54"/>
    </row>
    <row r="17" spans="2:9" ht="18.75">
      <c r="B17" s="61">
        <v>6</v>
      </c>
      <c r="C17" s="216" t="s">
        <v>262</v>
      </c>
      <c r="D17" s="217"/>
      <c r="F17" s="54"/>
      <c r="G17" s="54"/>
      <c r="H17" s="50" t="s">
        <v>81</v>
      </c>
      <c r="I17" s="54"/>
    </row>
    <row r="18" spans="2:9" ht="18.75">
      <c r="B18" s="61">
        <v>7</v>
      </c>
      <c r="C18" s="214" t="s">
        <v>263</v>
      </c>
      <c r="D18" s="215"/>
      <c r="F18" s="54"/>
      <c r="G18" s="54"/>
      <c r="H18" s="50" t="s">
        <v>81</v>
      </c>
      <c r="I18" s="54"/>
    </row>
    <row r="19" spans="2:9" ht="18.75">
      <c r="B19" s="61">
        <v>8</v>
      </c>
      <c r="C19" s="216" t="s">
        <v>264</v>
      </c>
      <c r="D19" s="217"/>
      <c r="F19" s="54"/>
      <c r="G19" s="54"/>
      <c r="H19" s="50" t="s">
        <v>81</v>
      </c>
      <c r="I19" s="54"/>
    </row>
    <row r="20" spans="2:9" ht="18.75">
      <c r="B20" s="61">
        <v>9</v>
      </c>
      <c r="C20" s="204" t="s">
        <v>265</v>
      </c>
      <c r="D20" s="175"/>
      <c r="F20" s="12"/>
      <c r="G20" s="12"/>
      <c r="H20" s="50" t="s">
        <v>81</v>
      </c>
      <c r="I20" s="9"/>
    </row>
    <row r="21" spans="2:9" ht="18.75">
      <c r="B21" s="61">
        <v>10</v>
      </c>
      <c r="C21" s="204" t="s">
        <v>266</v>
      </c>
      <c r="D21" s="175"/>
      <c r="F21" s="12"/>
      <c r="G21" s="12"/>
      <c r="H21" s="50" t="s">
        <v>81</v>
      </c>
      <c r="I21" s="9"/>
    </row>
    <row r="22" spans="2:9" ht="18.75">
      <c r="B22" s="61">
        <v>11</v>
      </c>
      <c r="C22" s="206" t="s">
        <v>267</v>
      </c>
      <c r="D22" s="176"/>
      <c r="F22" s="12"/>
      <c r="G22" s="12"/>
      <c r="H22" s="50" t="s">
        <v>81</v>
      </c>
      <c r="I22" s="9"/>
    </row>
    <row r="23" spans="2:9" ht="18.75">
      <c r="B23" s="61">
        <v>12</v>
      </c>
      <c r="C23" s="204" t="s">
        <v>268</v>
      </c>
      <c r="D23" s="175"/>
      <c r="F23" s="11"/>
      <c r="G23" s="11"/>
      <c r="H23" s="50" t="s">
        <v>81</v>
      </c>
      <c r="I23" s="10"/>
    </row>
    <row r="24" spans="2:9" ht="18.75">
      <c r="B24" s="61">
        <v>13</v>
      </c>
      <c r="C24" s="204" t="s">
        <v>269</v>
      </c>
      <c r="D24" s="175"/>
      <c r="F24" s="54"/>
      <c r="G24" s="54"/>
      <c r="H24" s="50" t="s">
        <v>81</v>
      </c>
      <c r="I24" s="54"/>
    </row>
    <row r="25" spans="2:9" ht="18.75">
      <c r="B25" s="61">
        <v>14</v>
      </c>
      <c r="C25" s="206" t="s">
        <v>270</v>
      </c>
      <c r="D25" s="176"/>
      <c r="F25" s="54"/>
      <c r="G25" s="54"/>
      <c r="H25" s="50" t="s">
        <v>81</v>
      </c>
      <c r="I25" s="54"/>
    </row>
    <row r="26" spans="2:9" ht="18.75">
      <c r="B26" s="61">
        <v>15</v>
      </c>
      <c r="C26" s="204" t="s">
        <v>271</v>
      </c>
      <c r="D26" s="175"/>
      <c r="F26" s="54"/>
      <c r="G26" s="54"/>
      <c r="H26" s="50" t="s">
        <v>81</v>
      </c>
      <c r="I26" s="54"/>
    </row>
    <row r="27" spans="2:9" ht="18.75">
      <c r="B27" s="61">
        <v>16</v>
      </c>
      <c r="C27" s="204" t="s">
        <v>272</v>
      </c>
      <c r="D27" s="175"/>
      <c r="F27" s="54"/>
      <c r="G27" s="54"/>
      <c r="H27" s="50" t="s">
        <v>81</v>
      </c>
      <c r="I27" s="54"/>
    </row>
    <row r="28" spans="2:9" ht="18.75">
      <c r="B28" s="61">
        <v>17</v>
      </c>
      <c r="C28" s="204" t="s">
        <v>273</v>
      </c>
      <c r="D28" s="175"/>
      <c r="F28" s="12"/>
      <c r="G28" s="12"/>
      <c r="H28" s="50" t="s">
        <v>81</v>
      </c>
      <c r="I28" s="9"/>
    </row>
    <row r="29" spans="2:9" ht="18.75">
      <c r="B29" s="61">
        <v>18</v>
      </c>
      <c r="C29" s="204" t="s">
        <v>274</v>
      </c>
      <c r="D29" s="175"/>
      <c r="F29" s="12"/>
      <c r="G29" s="12"/>
      <c r="H29" s="50" t="s">
        <v>81</v>
      </c>
      <c r="I29" s="9"/>
    </row>
    <row r="30" spans="2:9" ht="18.75">
      <c r="B30" s="61">
        <v>19</v>
      </c>
      <c r="C30" s="204" t="s">
        <v>275</v>
      </c>
      <c r="D30" s="175"/>
      <c r="F30" s="12"/>
      <c r="G30" s="12"/>
      <c r="H30" s="50" t="s">
        <v>81</v>
      </c>
      <c r="I30" s="9"/>
    </row>
    <row r="31" spans="2:9" ht="18.75">
      <c r="B31" s="61">
        <v>20</v>
      </c>
      <c r="C31" s="204" t="s">
        <v>276</v>
      </c>
      <c r="D31" s="175"/>
      <c r="F31" s="11"/>
      <c r="G31" s="11"/>
      <c r="H31" s="50" t="s">
        <v>81</v>
      </c>
      <c r="I31" s="10"/>
    </row>
    <row r="32" spans="2:9" ht="18.75">
      <c r="B32" s="61">
        <v>21</v>
      </c>
      <c r="C32" s="204" t="s">
        <v>277</v>
      </c>
      <c r="D32" s="175"/>
      <c r="F32" s="54"/>
      <c r="G32" s="54"/>
      <c r="H32" s="50" t="s">
        <v>81</v>
      </c>
      <c r="I32" s="54"/>
    </row>
    <row r="33" spans="2:9" ht="18.75">
      <c r="B33" s="61">
        <v>22</v>
      </c>
      <c r="C33" s="205" t="s">
        <v>278</v>
      </c>
      <c r="D33" s="193"/>
      <c r="F33" s="54"/>
      <c r="G33" s="54"/>
      <c r="H33" s="50" t="s">
        <v>81</v>
      </c>
      <c r="I33" s="54"/>
    </row>
    <row r="34" spans="2:9" ht="18.75">
      <c r="B34" s="61">
        <v>23</v>
      </c>
      <c r="C34" s="201" t="s">
        <v>279</v>
      </c>
      <c r="D34" s="189"/>
      <c r="F34" s="54"/>
      <c r="G34" s="54"/>
      <c r="H34" s="50" t="s">
        <v>81</v>
      </c>
      <c r="I34" s="54"/>
    </row>
    <row r="35" spans="2:9" ht="18.75">
      <c r="B35" s="61">
        <v>24</v>
      </c>
      <c r="C35" s="201" t="s">
        <v>280</v>
      </c>
      <c r="D35" s="192"/>
      <c r="F35" s="54"/>
      <c r="G35" s="54"/>
      <c r="H35" s="50" t="s">
        <v>81</v>
      </c>
      <c r="I35" s="54"/>
    </row>
    <row r="36" spans="2:9" ht="18.75">
      <c r="B36" s="61">
        <v>25</v>
      </c>
      <c r="C36" s="201" t="s">
        <v>281</v>
      </c>
      <c r="D36" s="189"/>
      <c r="F36" s="12"/>
      <c r="G36" s="12"/>
      <c r="H36" s="50" t="s">
        <v>81</v>
      </c>
      <c r="I36" s="9"/>
    </row>
    <row r="37" spans="2:9" ht="18.75">
      <c r="B37" s="61">
        <v>26</v>
      </c>
      <c r="C37" s="201" t="s">
        <v>282</v>
      </c>
      <c r="D37" s="189"/>
      <c r="F37" s="12"/>
      <c r="G37" s="12"/>
      <c r="H37" s="50" t="s">
        <v>81</v>
      </c>
      <c r="I37" s="9"/>
    </row>
    <row r="38" spans="2:9" ht="18.75">
      <c r="B38" s="61">
        <v>27</v>
      </c>
      <c r="C38" s="201" t="s">
        <v>283</v>
      </c>
      <c r="D38" s="189"/>
      <c r="F38" s="12"/>
      <c r="G38" s="12"/>
      <c r="H38" s="50" t="s">
        <v>81</v>
      </c>
      <c r="I38" s="9"/>
    </row>
    <row r="39" spans="2:9" ht="18.75">
      <c r="B39" s="61">
        <v>28</v>
      </c>
      <c r="C39" s="202" t="s">
        <v>284</v>
      </c>
      <c r="D39" s="203"/>
      <c r="F39" s="11"/>
      <c r="G39" s="11"/>
      <c r="H39" s="50" t="s">
        <v>81</v>
      </c>
      <c r="I39" s="10"/>
    </row>
    <row r="40" spans="2:9" ht="18.75">
      <c r="B40" s="61">
        <v>29</v>
      </c>
      <c r="C40" s="204" t="s">
        <v>285</v>
      </c>
      <c r="D40" s="175"/>
      <c r="F40" s="54"/>
      <c r="G40" s="54"/>
      <c r="H40" s="50" t="s">
        <v>81</v>
      </c>
      <c r="I40" s="54"/>
    </row>
    <row r="41" spans="2:9" ht="18.75">
      <c r="B41" s="61">
        <v>30</v>
      </c>
      <c r="C41" s="204" t="s">
        <v>286</v>
      </c>
      <c r="D41" s="175"/>
      <c r="F41" s="54"/>
      <c r="G41" s="51" t="s">
        <v>81</v>
      </c>
      <c r="H41" s="50"/>
      <c r="I41" s="54"/>
    </row>
  </sheetData>
  <mergeCells count="40">
    <mergeCell ref="C11:D11"/>
    <mergeCell ref="C12:D12"/>
    <mergeCell ref="K2:L2"/>
    <mergeCell ref="C16:D16"/>
    <mergeCell ref="C17:D17"/>
    <mergeCell ref="B2:I2"/>
    <mergeCell ref="C4:D4"/>
    <mergeCell ref="C5:D5"/>
    <mergeCell ref="C6:D6"/>
    <mergeCell ref="B7:C7"/>
    <mergeCell ref="F9:H9"/>
    <mergeCell ref="I9:I10"/>
    <mergeCell ref="B10:D10"/>
    <mergeCell ref="C18:D18"/>
    <mergeCell ref="C19:D19"/>
    <mergeCell ref="C15:D15"/>
    <mergeCell ref="C14:D14"/>
    <mergeCell ref="C13:D13"/>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40:D40"/>
    <mergeCell ref="C41:D41"/>
    <mergeCell ref="C35:D35"/>
    <mergeCell ref="C36:D36"/>
    <mergeCell ref="C37:D37"/>
    <mergeCell ref="C38:D38"/>
    <mergeCell ref="C39:D3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0C55-3BBD-4676-8528-18C2C3A87B21}">
  <sheetPr>
    <tabColor rgb="FFFF0066"/>
  </sheetPr>
  <dimension ref="B2:L36"/>
  <sheetViews>
    <sheetView topLeftCell="A25" zoomScale="80" zoomScaleNormal="80" workbookViewId="0">
      <selection activeCell="D43" sqref="D43"/>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24" t="s">
        <v>2</v>
      </c>
      <c r="L2" s="225"/>
    </row>
    <row r="3" spans="2:12" ht="15" customHeight="1">
      <c r="K3" s="54" t="s">
        <v>67</v>
      </c>
      <c r="L3" s="57">
        <f>COUNT(B12:D100)</f>
        <v>24</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c r="F9" s="183" t="s">
        <v>77</v>
      </c>
      <c r="G9" s="184"/>
      <c r="H9" s="185"/>
      <c r="I9" s="186" t="s">
        <v>255</v>
      </c>
    </row>
    <row r="10" spans="2:12" ht="21.75" customHeight="1">
      <c r="B10" s="227" t="s">
        <v>287</v>
      </c>
      <c r="C10" s="227"/>
      <c r="D10" s="227"/>
      <c r="E10" s="1"/>
      <c r="F10" s="14" t="s">
        <v>68</v>
      </c>
      <c r="G10" s="15" t="s">
        <v>70</v>
      </c>
      <c r="H10" s="15" t="s">
        <v>72</v>
      </c>
      <c r="I10" s="186"/>
      <c r="J10" s="3"/>
    </row>
    <row r="11" spans="2:12" ht="11.25" customHeight="1">
      <c r="C11" s="361"/>
      <c r="D11" s="362"/>
      <c r="F11" s="13"/>
      <c r="G11" s="13"/>
      <c r="H11" s="13"/>
      <c r="I11" s="13"/>
    </row>
    <row r="12" spans="2:12" ht="18.75">
      <c r="B12" s="59">
        <v>1</v>
      </c>
      <c r="C12" s="222" t="s">
        <v>288</v>
      </c>
      <c r="D12" s="223"/>
      <c r="E12" s="2"/>
      <c r="F12" s="12"/>
      <c r="G12" s="12"/>
      <c r="H12" s="50" t="s">
        <v>81</v>
      </c>
      <c r="I12" s="9"/>
    </row>
    <row r="13" spans="2:12" ht="18.75">
      <c r="B13" s="60">
        <v>2</v>
      </c>
      <c r="C13" s="218" t="s">
        <v>289</v>
      </c>
      <c r="D13" s="219"/>
      <c r="E13" s="2"/>
      <c r="F13" s="12"/>
      <c r="G13" s="12"/>
      <c r="H13" s="50" t="s">
        <v>81</v>
      </c>
      <c r="I13" s="9"/>
    </row>
    <row r="14" spans="2:12" ht="18.75">
      <c r="B14" s="60">
        <v>3</v>
      </c>
      <c r="C14" s="230" t="s">
        <v>290</v>
      </c>
      <c r="D14" s="231"/>
      <c r="E14" s="2"/>
      <c r="F14" s="12"/>
      <c r="G14" s="12"/>
      <c r="H14" s="50" t="s">
        <v>81</v>
      </c>
      <c r="I14" s="9"/>
    </row>
    <row r="15" spans="2:12" ht="18.75">
      <c r="B15" s="61">
        <v>4</v>
      </c>
      <c r="C15" s="232" t="s">
        <v>291</v>
      </c>
      <c r="D15" s="232"/>
      <c r="E15" s="2"/>
      <c r="F15" s="11"/>
      <c r="G15" s="11"/>
      <c r="H15" s="50" t="s">
        <v>81</v>
      </c>
      <c r="I15" s="10"/>
    </row>
    <row r="16" spans="2:12" ht="18.75">
      <c r="B16" s="61">
        <v>5</v>
      </c>
      <c r="C16" s="228" t="s">
        <v>292</v>
      </c>
      <c r="D16" s="229"/>
      <c r="F16" s="54"/>
      <c r="G16" s="54"/>
      <c r="H16" s="50" t="s">
        <v>81</v>
      </c>
      <c r="I16" s="54"/>
    </row>
    <row r="17" spans="2:9" ht="18.75">
      <c r="B17" s="61">
        <v>6</v>
      </c>
      <c r="C17" s="204" t="s">
        <v>239</v>
      </c>
      <c r="D17" s="175"/>
      <c r="F17" s="11"/>
      <c r="G17" s="11"/>
      <c r="H17" s="50" t="s">
        <v>81</v>
      </c>
      <c r="I17" s="10"/>
    </row>
    <row r="18" spans="2:9" ht="18.75">
      <c r="B18" s="61">
        <v>7</v>
      </c>
      <c r="C18" s="204" t="s">
        <v>240</v>
      </c>
      <c r="D18" s="175"/>
      <c r="F18" s="54"/>
      <c r="G18" s="54"/>
      <c r="H18" s="50" t="s">
        <v>81</v>
      </c>
      <c r="I18" s="54"/>
    </row>
    <row r="19" spans="2:9" ht="18.75">
      <c r="B19" s="61">
        <v>8</v>
      </c>
      <c r="C19" s="204" t="s">
        <v>241</v>
      </c>
      <c r="D19" s="175"/>
      <c r="F19" s="11"/>
      <c r="G19" s="11"/>
      <c r="H19" s="50" t="s">
        <v>81</v>
      </c>
      <c r="I19" s="10"/>
    </row>
    <row r="20" spans="2:9" ht="18.75">
      <c r="B20" s="61">
        <v>9</v>
      </c>
      <c r="C20" s="204" t="s">
        <v>242</v>
      </c>
      <c r="D20" s="175"/>
      <c r="F20" s="54"/>
      <c r="G20" s="54"/>
      <c r="H20" s="50" t="s">
        <v>81</v>
      </c>
      <c r="I20" s="54"/>
    </row>
    <row r="21" spans="2:9" ht="18.75">
      <c r="B21" s="61">
        <v>10</v>
      </c>
      <c r="C21" s="204" t="s">
        <v>293</v>
      </c>
      <c r="D21" s="175"/>
      <c r="F21" s="11"/>
      <c r="G21" s="11"/>
      <c r="H21" s="50" t="s">
        <v>81</v>
      </c>
      <c r="I21" s="10"/>
    </row>
    <row r="22" spans="2:9" ht="18.75">
      <c r="B22" s="61">
        <v>11</v>
      </c>
      <c r="C22" s="204" t="s">
        <v>294</v>
      </c>
      <c r="D22" s="175"/>
      <c r="F22" s="54"/>
      <c r="G22" s="54"/>
      <c r="H22" s="50" t="s">
        <v>81</v>
      </c>
      <c r="I22" s="54"/>
    </row>
    <row r="23" spans="2:9" ht="18.75">
      <c r="B23" s="61">
        <v>12</v>
      </c>
      <c r="C23" s="204" t="s">
        <v>243</v>
      </c>
      <c r="D23" s="175"/>
      <c r="F23" s="11"/>
      <c r="G23" s="11"/>
      <c r="H23" s="50" t="s">
        <v>81</v>
      </c>
      <c r="I23" s="10"/>
    </row>
    <row r="24" spans="2:9" ht="18.75">
      <c r="B24" s="61">
        <v>13</v>
      </c>
      <c r="C24" s="212" t="s">
        <v>244</v>
      </c>
      <c r="D24" s="213"/>
      <c r="F24" s="54"/>
      <c r="G24" s="54"/>
      <c r="H24" s="50" t="s">
        <v>81</v>
      </c>
      <c r="I24" s="54"/>
    </row>
    <row r="25" spans="2:9" ht="18.75">
      <c r="B25" s="61">
        <v>14</v>
      </c>
      <c r="C25" s="204" t="s">
        <v>245</v>
      </c>
      <c r="D25" s="175"/>
      <c r="F25" s="11"/>
      <c r="G25" s="11"/>
      <c r="H25" s="50" t="s">
        <v>81</v>
      </c>
      <c r="I25" s="10"/>
    </row>
    <row r="26" spans="2:9" ht="18.75">
      <c r="B26" s="61">
        <v>15</v>
      </c>
      <c r="C26" s="204" t="s">
        <v>246</v>
      </c>
      <c r="D26" s="175"/>
      <c r="F26" s="54"/>
      <c r="G26" s="54"/>
      <c r="H26" s="50" t="s">
        <v>81</v>
      </c>
      <c r="I26" s="54"/>
    </row>
    <row r="27" spans="2:9" ht="18.75">
      <c r="B27" s="61">
        <v>16</v>
      </c>
      <c r="C27" s="204" t="s">
        <v>247</v>
      </c>
      <c r="D27" s="175"/>
      <c r="F27" s="11"/>
      <c r="G27" s="11"/>
      <c r="H27" s="50" t="s">
        <v>81</v>
      </c>
      <c r="I27" s="10"/>
    </row>
    <row r="28" spans="2:9" ht="18.75">
      <c r="B28" s="61">
        <v>17</v>
      </c>
      <c r="C28" s="204" t="s">
        <v>248</v>
      </c>
      <c r="D28" s="175"/>
      <c r="F28" s="54"/>
      <c r="G28" s="54"/>
      <c r="H28" s="50" t="s">
        <v>81</v>
      </c>
      <c r="I28" s="54"/>
    </row>
    <row r="29" spans="2:9" ht="18.75">
      <c r="B29" s="61">
        <v>18</v>
      </c>
      <c r="C29" s="205" t="s">
        <v>295</v>
      </c>
      <c r="D29" s="193"/>
      <c r="F29" s="11"/>
      <c r="G29" s="11"/>
      <c r="H29" s="50" t="s">
        <v>81</v>
      </c>
      <c r="I29" s="10"/>
    </row>
    <row r="30" spans="2:9" ht="18.75">
      <c r="B30" s="61">
        <v>19</v>
      </c>
      <c r="C30" s="207" t="s">
        <v>249</v>
      </c>
      <c r="D30" s="360"/>
      <c r="F30" s="54"/>
      <c r="G30" s="54"/>
      <c r="H30" s="50" t="s">
        <v>81</v>
      </c>
      <c r="I30" s="54"/>
    </row>
    <row r="31" spans="2:9" ht="18.75">
      <c r="B31" s="61">
        <v>20</v>
      </c>
      <c r="C31" s="207" t="s">
        <v>250</v>
      </c>
      <c r="D31" s="208"/>
      <c r="F31" s="11"/>
      <c r="G31" s="11"/>
      <c r="H31" s="50" t="s">
        <v>81</v>
      </c>
      <c r="I31" s="10"/>
    </row>
    <row r="32" spans="2:9" ht="18.75">
      <c r="B32" s="61">
        <v>21</v>
      </c>
      <c r="C32" s="208" t="s">
        <v>251</v>
      </c>
      <c r="D32" s="209"/>
      <c r="F32" s="54"/>
      <c r="G32" s="54"/>
      <c r="H32" s="50" t="s">
        <v>81</v>
      </c>
      <c r="I32" s="54"/>
    </row>
    <row r="33" spans="2:9" ht="18.75">
      <c r="B33" s="61">
        <v>22</v>
      </c>
      <c r="C33" s="207" t="s">
        <v>252</v>
      </c>
      <c r="D33" s="360"/>
      <c r="F33" s="11"/>
      <c r="G33" s="11"/>
      <c r="H33" s="50" t="s">
        <v>81</v>
      </c>
      <c r="I33" s="10"/>
    </row>
    <row r="34" spans="2:9" ht="18.75">
      <c r="B34" s="61">
        <v>23</v>
      </c>
      <c r="C34" s="208" t="s">
        <v>253</v>
      </c>
      <c r="D34" s="209"/>
      <c r="F34" s="54"/>
      <c r="G34" s="54"/>
      <c r="H34" s="50" t="s">
        <v>81</v>
      </c>
      <c r="I34" s="54"/>
    </row>
    <row r="35" spans="2:9" ht="18.75">
      <c r="B35" s="61">
        <v>24</v>
      </c>
      <c r="C35" s="210" t="s">
        <v>254</v>
      </c>
      <c r="D35" s="211"/>
      <c r="F35" s="11"/>
      <c r="G35" s="11"/>
      <c r="H35" s="50" t="s">
        <v>81</v>
      </c>
      <c r="I35" s="10"/>
    </row>
    <row r="36" spans="2:9">
      <c r="F36" s="54"/>
      <c r="G36" s="54"/>
      <c r="H36" s="50" t="s">
        <v>81</v>
      </c>
      <c r="I36" s="54"/>
    </row>
  </sheetData>
  <mergeCells count="34">
    <mergeCell ref="K2:L2"/>
    <mergeCell ref="C16:D16"/>
    <mergeCell ref="B2:I2"/>
    <mergeCell ref="C4:D4"/>
    <mergeCell ref="C5:D5"/>
    <mergeCell ref="C6:D6"/>
    <mergeCell ref="B7:C7"/>
    <mergeCell ref="F9:H9"/>
    <mergeCell ref="I9:I10"/>
    <mergeCell ref="B10:D10"/>
    <mergeCell ref="C11:D11"/>
    <mergeCell ref="C12:D12"/>
    <mergeCell ref="C13:D13"/>
    <mergeCell ref="C14:D14"/>
    <mergeCell ref="C15:D15"/>
    <mergeCell ref="C17:D17"/>
    <mergeCell ref="C18:D18"/>
    <mergeCell ref="C19:D19"/>
    <mergeCell ref="C20:D20"/>
    <mergeCell ref="C21:D21"/>
    <mergeCell ref="C22:D22"/>
    <mergeCell ref="C23:D23"/>
    <mergeCell ref="C24:D24"/>
    <mergeCell ref="C25:D25"/>
    <mergeCell ref="C26:D26"/>
    <mergeCell ref="C32:D32"/>
    <mergeCell ref="C33:D33"/>
    <mergeCell ref="C34:D34"/>
    <mergeCell ref="C35:D35"/>
    <mergeCell ref="C27:D27"/>
    <mergeCell ref="C28:D28"/>
    <mergeCell ref="C29:D29"/>
    <mergeCell ref="C30:D30"/>
    <mergeCell ref="C31:D31"/>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EE69-8DC6-4F96-BDDC-AA5F47C9A904}">
  <sheetPr>
    <tabColor theme="7" tint="-0.499984740745262"/>
  </sheetPr>
  <dimension ref="B2:L21"/>
  <sheetViews>
    <sheetView topLeftCell="D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33" t="s">
        <v>2</v>
      </c>
      <c r="L2" s="234"/>
    </row>
    <row r="3" spans="2:12" ht="15" customHeight="1">
      <c r="K3" s="54" t="s">
        <v>67</v>
      </c>
      <c r="L3" s="57">
        <f>COUNT(B12:D100)</f>
        <v>9</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6.5" customHeight="1">
      <c r="B9" s="235"/>
      <c r="C9" s="235"/>
      <c r="D9" s="235"/>
      <c r="E9" s="20"/>
      <c r="F9" s="20"/>
      <c r="G9" s="20"/>
      <c r="H9" s="20"/>
      <c r="I9" s="20"/>
    </row>
    <row r="10" spans="2:12" ht="21" customHeight="1">
      <c r="F10" s="183" t="s">
        <v>77</v>
      </c>
      <c r="G10" s="184"/>
      <c r="H10" s="185"/>
      <c r="I10" s="186" t="s">
        <v>255</v>
      </c>
    </row>
    <row r="11" spans="2:12" ht="20.25" customHeight="1">
      <c r="B11" s="242" t="s">
        <v>296</v>
      </c>
      <c r="C11" s="242"/>
      <c r="D11" s="242"/>
      <c r="E11" s="1"/>
      <c r="F11" s="14" t="s">
        <v>68</v>
      </c>
      <c r="G11" s="15" t="s">
        <v>70</v>
      </c>
      <c r="H11" s="15" t="s">
        <v>72</v>
      </c>
      <c r="I11" s="186"/>
      <c r="J11" s="3"/>
    </row>
    <row r="12" spans="2:12" ht="11.25" customHeight="1">
      <c r="C12" s="363"/>
      <c r="D12" s="363"/>
      <c r="F12" s="13"/>
      <c r="G12" s="13"/>
      <c r="H12" s="13"/>
      <c r="I12" s="13"/>
    </row>
    <row r="13" spans="2:12" ht="18.75">
      <c r="B13" s="23">
        <v>1</v>
      </c>
      <c r="C13" s="236" t="s">
        <v>297</v>
      </c>
      <c r="D13" s="237"/>
      <c r="E13" s="2"/>
      <c r="F13" s="12"/>
      <c r="G13" s="12"/>
      <c r="H13" s="50" t="s">
        <v>81</v>
      </c>
      <c r="I13" s="9"/>
    </row>
    <row r="14" spans="2:12" ht="18.75">
      <c r="B14" s="24">
        <v>2</v>
      </c>
      <c r="C14" s="238" t="s">
        <v>298</v>
      </c>
      <c r="D14" s="239"/>
      <c r="E14" s="22"/>
      <c r="F14" s="12"/>
      <c r="G14" s="12"/>
      <c r="H14" s="50" t="s">
        <v>81</v>
      </c>
      <c r="I14" s="9"/>
    </row>
    <row r="15" spans="2:12" ht="18.75">
      <c r="B15" s="24">
        <v>3</v>
      </c>
      <c r="C15" s="240" t="s">
        <v>299</v>
      </c>
      <c r="D15" s="241"/>
      <c r="E15" s="2"/>
      <c r="F15" s="12"/>
      <c r="G15" s="12"/>
      <c r="H15" s="50" t="s">
        <v>81</v>
      </c>
      <c r="I15" s="9"/>
    </row>
    <row r="16" spans="2:12" ht="18.75">
      <c r="B16" s="24">
        <v>4</v>
      </c>
      <c r="C16" s="245" t="s">
        <v>300</v>
      </c>
      <c r="D16" s="246"/>
      <c r="E16" s="2"/>
      <c r="F16" s="12"/>
      <c r="G16" s="12"/>
      <c r="H16" s="50" t="s">
        <v>81</v>
      </c>
      <c r="I16" s="9"/>
    </row>
    <row r="17" spans="2:9" ht="18.75">
      <c r="B17" s="24">
        <v>5</v>
      </c>
      <c r="C17" s="247" t="s">
        <v>301</v>
      </c>
      <c r="D17" s="248"/>
      <c r="E17" s="2"/>
      <c r="F17" s="12"/>
      <c r="G17" s="12"/>
      <c r="H17" s="50" t="s">
        <v>81</v>
      </c>
      <c r="I17" s="9"/>
    </row>
    <row r="18" spans="2:9" ht="18.75">
      <c r="B18" s="24">
        <v>6</v>
      </c>
      <c r="C18" s="249" t="s">
        <v>302</v>
      </c>
      <c r="D18" s="250"/>
      <c r="E18" s="2"/>
      <c r="F18" s="12"/>
      <c r="G18" s="12"/>
      <c r="H18" s="50" t="s">
        <v>81</v>
      </c>
      <c r="I18" s="9"/>
    </row>
    <row r="19" spans="2:9" ht="18.75">
      <c r="B19" s="24">
        <v>7</v>
      </c>
      <c r="C19" s="247" t="s">
        <v>303</v>
      </c>
      <c r="D19" s="248"/>
      <c r="E19" s="2"/>
      <c r="F19" s="12"/>
      <c r="G19" s="12"/>
      <c r="H19" s="50" t="s">
        <v>81</v>
      </c>
      <c r="I19" s="9"/>
    </row>
    <row r="20" spans="2:9" ht="18.75">
      <c r="B20" s="24">
        <v>8</v>
      </c>
      <c r="C20" s="238" t="s">
        <v>304</v>
      </c>
      <c r="D20" s="251"/>
      <c r="E20" s="2"/>
      <c r="F20" s="12"/>
      <c r="G20" s="12"/>
      <c r="H20" s="50" t="s">
        <v>81</v>
      </c>
      <c r="I20" s="9"/>
    </row>
    <row r="21" spans="2:9" ht="18.75">
      <c r="B21" s="62">
        <v>9</v>
      </c>
      <c r="C21" s="243" t="s">
        <v>305</v>
      </c>
      <c r="D21" s="244"/>
      <c r="F21" s="12"/>
      <c r="G21" s="12"/>
      <c r="H21" s="50" t="s">
        <v>81</v>
      </c>
      <c r="I21" s="9"/>
    </row>
  </sheetData>
  <mergeCells count="20">
    <mergeCell ref="C21:D21"/>
    <mergeCell ref="C16:D16"/>
    <mergeCell ref="C17:D17"/>
    <mergeCell ref="C18:D18"/>
    <mergeCell ref="C19:D19"/>
    <mergeCell ref="C20:D20"/>
    <mergeCell ref="C13:D13"/>
    <mergeCell ref="C14:D14"/>
    <mergeCell ref="C15:D15"/>
    <mergeCell ref="F10:H10"/>
    <mergeCell ref="I10:I11"/>
    <mergeCell ref="B11:D11"/>
    <mergeCell ref="C12:D12"/>
    <mergeCell ref="K2:L2"/>
    <mergeCell ref="B9:D9"/>
    <mergeCell ref="B2:I2"/>
    <mergeCell ref="C4:D4"/>
    <mergeCell ref="C5:D5"/>
    <mergeCell ref="C6:D6"/>
    <mergeCell ref="B7:C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6666-2DA8-4234-BD89-0DCA497473B2}">
  <sheetPr>
    <tabColor theme="7" tint="-0.499984740745262"/>
  </sheetPr>
  <dimension ref="B2:L18"/>
  <sheetViews>
    <sheetView topLeftCell="B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253" t="s">
        <v>66</v>
      </c>
      <c r="C2" s="254"/>
      <c r="D2" s="254"/>
      <c r="E2" s="254"/>
      <c r="F2" s="254"/>
      <c r="G2" s="254"/>
      <c r="H2" s="254"/>
      <c r="I2" s="254"/>
      <c r="K2" s="233" t="s">
        <v>2</v>
      </c>
      <c r="L2" s="234"/>
    </row>
    <row r="3" spans="2:12" ht="15" customHeight="1">
      <c r="K3" s="54" t="s">
        <v>67</v>
      </c>
      <c r="L3" s="57">
        <f>COUNT(B12:D100)</f>
        <v>5</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6.5" customHeight="1">
      <c r="B9" s="252"/>
      <c r="C9" s="252"/>
      <c r="D9" s="252"/>
      <c r="E9" s="63"/>
      <c r="F9" s="63"/>
      <c r="G9" s="63"/>
      <c r="H9" s="63"/>
      <c r="I9" s="63"/>
    </row>
    <row r="10" spans="2:12" ht="21" customHeight="1">
      <c r="F10" s="183" t="s">
        <v>77</v>
      </c>
      <c r="G10" s="184"/>
      <c r="H10" s="185"/>
      <c r="I10" s="186" t="s">
        <v>255</v>
      </c>
    </row>
    <row r="11" spans="2:12" ht="20.25" customHeight="1">
      <c r="B11" s="242" t="s">
        <v>306</v>
      </c>
      <c r="C11" s="242"/>
      <c r="D11" s="242"/>
      <c r="E11" s="1"/>
      <c r="F11" s="14" t="s">
        <v>68</v>
      </c>
      <c r="G11" s="15" t="s">
        <v>70</v>
      </c>
      <c r="H11" s="15" t="s">
        <v>72</v>
      </c>
      <c r="I11" s="186"/>
      <c r="J11" s="3"/>
    </row>
    <row r="12" spans="2:12" ht="11.25" customHeight="1">
      <c r="C12" s="363"/>
      <c r="D12" s="363"/>
      <c r="F12" s="13"/>
      <c r="G12" s="13"/>
      <c r="H12" s="13"/>
      <c r="I12" s="13"/>
    </row>
    <row r="13" spans="2:12" ht="18.75">
      <c r="B13" s="23">
        <v>1</v>
      </c>
      <c r="C13" s="236" t="s">
        <v>307</v>
      </c>
      <c r="D13" s="237"/>
      <c r="E13" s="2"/>
      <c r="F13" s="64"/>
      <c r="G13" s="64" t="s">
        <v>81</v>
      </c>
      <c r="H13" s="50"/>
      <c r="I13" s="9"/>
    </row>
    <row r="14" spans="2:12" ht="18.75">
      <c r="B14" s="24">
        <v>2</v>
      </c>
      <c r="C14" s="238" t="s">
        <v>308</v>
      </c>
      <c r="D14" s="239"/>
      <c r="E14" s="22"/>
      <c r="F14" s="64"/>
      <c r="G14" s="64" t="s">
        <v>81</v>
      </c>
      <c r="H14" s="50"/>
      <c r="I14" s="9"/>
    </row>
    <row r="15" spans="2:12" ht="18.75">
      <c r="B15" s="24">
        <v>3</v>
      </c>
      <c r="C15" s="240" t="s">
        <v>309</v>
      </c>
      <c r="D15" s="241"/>
      <c r="E15" s="2"/>
      <c r="F15" s="64"/>
      <c r="G15" s="64" t="s">
        <v>81</v>
      </c>
      <c r="H15" s="50"/>
      <c r="I15" s="9"/>
    </row>
    <row r="16" spans="2:12" ht="18.75">
      <c r="B16" s="24">
        <v>4</v>
      </c>
      <c r="C16" s="245" t="s">
        <v>310</v>
      </c>
      <c r="D16" s="246"/>
      <c r="E16" s="2"/>
      <c r="F16" s="64"/>
      <c r="G16" s="64" t="s">
        <v>81</v>
      </c>
      <c r="H16" s="50"/>
      <c r="I16" s="9"/>
    </row>
    <row r="17" spans="2:9" ht="18.75">
      <c r="B17" s="24">
        <v>5</v>
      </c>
      <c r="C17" s="247" t="s">
        <v>311</v>
      </c>
      <c r="D17" s="248"/>
      <c r="E17" s="2"/>
      <c r="F17" s="64"/>
      <c r="G17" s="64" t="s">
        <v>81</v>
      </c>
      <c r="H17" s="50" t="s">
        <v>81</v>
      </c>
      <c r="I17" s="9"/>
    </row>
    <row r="18" spans="2:9">
      <c r="G18" s="64"/>
    </row>
  </sheetData>
  <mergeCells count="16">
    <mergeCell ref="K2:L2"/>
    <mergeCell ref="C15:D15"/>
    <mergeCell ref="C16:D16"/>
    <mergeCell ref="C17:D17"/>
    <mergeCell ref="F10:H10"/>
    <mergeCell ref="I10:I11"/>
    <mergeCell ref="B11:D11"/>
    <mergeCell ref="C12:D12"/>
    <mergeCell ref="C13:D13"/>
    <mergeCell ref="C14:D14"/>
    <mergeCell ref="B9:D9"/>
    <mergeCell ref="B2:I2"/>
    <mergeCell ref="C4:D4"/>
    <mergeCell ref="C5:D5"/>
    <mergeCell ref="C6:D6"/>
    <mergeCell ref="B7:C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DF64-E248-4638-8045-41DE29BFAD25}">
  <sheetPr>
    <tabColor rgb="FFA6D1E3"/>
  </sheetPr>
  <dimension ref="B2:L22"/>
  <sheetViews>
    <sheetView zoomScaleNormal="100" workbookViewId="0">
      <selection activeCell="D25" sqref="D2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55" t="s">
        <v>2</v>
      </c>
      <c r="L2" s="255"/>
    </row>
    <row r="3" spans="2:12" ht="15" customHeight="1">
      <c r="K3" s="54" t="s">
        <v>67</v>
      </c>
      <c r="L3" s="57">
        <f>COUNT(B12:D100)</f>
        <v>10</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6.5" customHeight="1">
      <c r="B9" s="235"/>
      <c r="C9" s="235"/>
      <c r="D9" s="235"/>
      <c r="E9" s="20"/>
      <c r="F9" s="20"/>
      <c r="G9" s="20"/>
      <c r="H9" s="20"/>
      <c r="I9" s="20"/>
    </row>
    <row r="10" spans="2:12" ht="21" customHeight="1">
      <c r="F10" s="183" t="s">
        <v>77</v>
      </c>
      <c r="G10" s="184"/>
      <c r="H10" s="185"/>
      <c r="I10" s="186" t="s">
        <v>255</v>
      </c>
    </row>
    <row r="11" spans="2:12" ht="20.25" customHeight="1">
      <c r="B11" s="255" t="s">
        <v>312</v>
      </c>
      <c r="C11" s="255"/>
      <c r="D11" s="255"/>
      <c r="E11" s="1"/>
      <c r="F11" s="14" t="s">
        <v>68</v>
      </c>
      <c r="G11" s="15" t="s">
        <v>70</v>
      </c>
      <c r="H11" s="15" t="s">
        <v>72</v>
      </c>
      <c r="I11" s="186"/>
      <c r="J11" s="3"/>
    </row>
    <row r="12" spans="2:12" ht="11.25" customHeight="1">
      <c r="C12" s="363"/>
      <c r="D12" s="363"/>
      <c r="F12" s="13"/>
      <c r="G12" s="13"/>
      <c r="H12" s="13"/>
      <c r="I12" s="13"/>
    </row>
    <row r="13" spans="2:12" ht="18.75">
      <c r="B13" s="145">
        <v>1</v>
      </c>
      <c r="C13" s="256" t="s">
        <v>313</v>
      </c>
      <c r="D13" s="256"/>
      <c r="E13" s="2"/>
      <c r="F13" s="12"/>
      <c r="G13" s="12"/>
      <c r="H13" s="50" t="s">
        <v>81</v>
      </c>
      <c r="I13" s="9"/>
    </row>
    <row r="14" spans="2:12" ht="18.75">
      <c r="B14" s="146">
        <v>2</v>
      </c>
      <c r="C14" s="256" t="s">
        <v>314</v>
      </c>
      <c r="D14" s="256"/>
      <c r="E14" s="65"/>
      <c r="F14" s="12"/>
      <c r="G14" s="12"/>
      <c r="H14" s="50" t="s">
        <v>81</v>
      </c>
      <c r="I14" s="9"/>
    </row>
    <row r="15" spans="2:12" ht="18.75">
      <c r="B15" s="146">
        <v>3</v>
      </c>
      <c r="C15" s="257" t="s">
        <v>315</v>
      </c>
      <c r="D15" s="257"/>
      <c r="E15" s="2"/>
      <c r="F15" s="12"/>
      <c r="G15" s="12"/>
      <c r="H15" s="50" t="s">
        <v>81</v>
      </c>
      <c r="I15" s="9"/>
    </row>
    <row r="16" spans="2:12" ht="18.75">
      <c r="B16" s="146">
        <v>4</v>
      </c>
      <c r="C16" s="258" t="s">
        <v>316</v>
      </c>
      <c r="D16" s="258"/>
      <c r="E16" s="2"/>
      <c r="F16" s="12"/>
      <c r="G16" s="12"/>
      <c r="H16" s="50" t="s">
        <v>81</v>
      </c>
      <c r="I16" s="9"/>
    </row>
    <row r="17" spans="2:9" ht="18.75">
      <c r="B17" s="146">
        <v>5</v>
      </c>
      <c r="C17" s="258" t="s">
        <v>317</v>
      </c>
      <c r="D17" s="258"/>
      <c r="E17" s="2"/>
      <c r="F17" s="12"/>
      <c r="G17" s="12"/>
      <c r="H17" s="50" t="s">
        <v>81</v>
      </c>
      <c r="I17" s="9"/>
    </row>
    <row r="18" spans="2:9" ht="18.75">
      <c r="B18" s="146">
        <v>6</v>
      </c>
      <c r="C18" s="258" t="s">
        <v>318</v>
      </c>
      <c r="D18" s="258"/>
      <c r="E18" s="2"/>
      <c r="F18" s="12"/>
      <c r="G18" s="12"/>
      <c r="H18" s="50" t="s">
        <v>81</v>
      </c>
      <c r="I18" s="9"/>
    </row>
    <row r="19" spans="2:9" ht="18.75">
      <c r="B19" s="146">
        <v>7</v>
      </c>
      <c r="C19" s="256" t="s">
        <v>319</v>
      </c>
      <c r="D19" s="256"/>
      <c r="E19" s="2"/>
      <c r="F19" s="12"/>
      <c r="G19" s="12"/>
      <c r="H19" s="50" t="s">
        <v>81</v>
      </c>
      <c r="I19" s="9"/>
    </row>
    <row r="20" spans="2:9" ht="18.75">
      <c r="B20" s="146">
        <v>8</v>
      </c>
      <c r="C20" s="256" t="s">
        <v>320</v>
      </c>
      <c r="D20" s="256"/>
      <c r="F20" s="12"/>
      <c r="G20" s="12"/>
      <c r="H20" s="50" t="s">
        <v>81</v>
      </c>
      <c r="I20" s="9"/>
    </row>
    <row r="21" spans="2:9" ht="18.75">
      <c r="B21" s="146">
        <v>9</v>
      </c>
      <c r="C21" s="257" t="s">
        <v>321</v>
      </c>
      <c r="D21" s="257"/>
      <c r="F21" s="12"/>
      <c r="G21" s="12"/>
      <c r="H21" s="50" t="s">
        <v>81</v>
      </c>
      <c r="I21" s="9"/>
    </row>
    <row r="22" spans="2:9" ht="18.75">
      <c r="B22" s="146">
        <v>10</v>
      </c>
      <c r="C22" s="256" t="s">
        <v>322</v>
      </c>
      <c r="D22" s="256"/>
      <c r="F22" s="12"/>
      <c r="G22" s="12"/>
      <c r="H22" s="50" t="s">
        <v>81</v>
      </c>
      <c r="I22" s="9"/>
    </row>
  </sheetData>
  <mergeCells count="21">
    <mergeCell ref="C20:D20"/>
    <mergeCell ref="C21:D21"/>
    <mergeCell ref="C22:D22"/>
    <mergeCell ref="C15:D15"/>
    <mergeCell ref="C16:D16"/>
    <mergeCell ref="C17:D17"/>
    <mergeCell ref="C18:D18"/>
    <mergeCell ref="C19:D19"/>
    <mergeCell ref="K2:L2"/>
    <mergeCell ref="C14:D14"/>
    <mergeCell ref="B2:I2"/>
    <mergeCell ref="C4:D4"/>
    <mergeCell ref="C5:D5"/>
    <mergeCell ref="C6:D6"/>
    <mergeCell ref="B7:C7"/>
    <mergeCell ref="B9:D9"/>
    <mergeCell ref="F10:H10"/>
    <mergeCell ref="I10:I11"/>
    <mergeCell ref="B11:D11"/>
    <mergeCell ref="C12:D12"/>
    <mergeCell ref="C13:D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0779-A9B3-48B3-BB78-4674701224AE}">
  <sheetPr>
    <tabColor rgb="FFA6D1E3"/>
  </sheetPr>
  <dimension ref="B2:L17"/>
  <sheetViews>
    <sheetView zoomScaleNormal="100" workbookViewId="0">
      <selection activeCell="B11" sqref="B11:D11"/>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55" t="s">
        <v>2</v>
      </c>
      <c r="L2" s="255"/>
    </row>
    <row r="3" spans="2:12" ht="15" customHeight="1">
      <c r="K3" s="54" t="s">
        <v>67</v>
      </c>
      <c r="L3" s="57">
        <f>COUNT(B12:D100)</f>
        <v>5</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6.5" customHeight="1">
      <c r="B9" s="235"/>
      <c r="C9" s="235"/>
      <c r="D9" s="235"/>
      <c r="E9" s="20"/>
      <c r="F9" s="20"/>
      <c r="G9" s="20"/>
      <c r="H9" s="20"/>
      <c r="I9" s="20"/>
    </row>
    <row r="10" spans="2:12" ht="21" customHeight="1">
      <c r="F10" s="183" t="s">
        <v>77</v>
      </c>
      <c r="G10" s="184"/>
      <c r="H10" s="185"/>
      <c r="I10" s="186" t="s">
        <v>255</v>
      </c>
    </row>
    <row r="11" spans="2:12" ht="20.25" customHeight="1">
      <c r="B11" s="255" t="s">
        <v>323</v>
      </c>
      <c r="C11" s="255"/>
      <c r="D11" s="255"/>
      <c r="E11" s="1"/>
      <c r="F11" s="14" t="s">
        <v>68</v>
      </c>
      <c r="G11" s="15" t="s">
        <v>70</v>
      </c>
      <c r="H11" s="15" t="s">
        <v>72</v>
      </c>
      <c r="I11" s="186"/>
      <c r="J11" s="3"/>
    </row>
    <row r="12" spans="2:12" ht="11.25" customHeight="1">
      <c r="C12" s="363"/>
      <c r="D12" s="363"/>
      <c r="F12" s="13"/>
      <c r="G12" s="13"/>
      <c r="H12" s="13"/>
      <c r="I12" s="13"/>
    </row>
    <row r="13" spans="2:12" ht="18.75">
      <c r="B13" s="145">
        <v>1</v>
      </c>
      <c r="C13" s="259" t="s">
        <v>324</v>
      </c>
      <c r="D13" s="260"/>
      <c r="E13" s="2"/>
      <c r="F13" s="12"/>
      <c r="G13" s="12"/>
      <c r="H13" s="50" t="s">
        <v>81</v>
      </c>
      <c r="I13" s="9"/>
    </row>
    <row r="14" spans="2:12" ht="18.75">
      <c r="B14" s="146">
        <v>2</v>
      </c>
      <c r="C14" s="256" t="s">
        <v>325</v>
      </c>
      <c r="D14" s="256"/>
      <c r="E14" s="65"/>
      <c r="F14" s="12"/>
      <c r="G14" s="12"/>
      <c r="H14" s="50" t="s">
        <v>81</v>
      </c>
      <c r="I14" s="9"/>
    </row>
    <row r="15" spans="2:12" ht="18.75">
      <c r="B15" s="146">
        <v>3</v>
      </c>
      <c r="C15" s="257" t="s">
        <v>326</v>
      </c>
      <c r="D15" s="257"/>
      <c r="E15" s="2"/>
      <c r="F15" s="12"/>
      <c r="G15" s="12"/>
      <c r="H15" s="50" t="s">
        <v>81</v>
      </c>
      <c r="I15" s="9"/>
    </row>
    <row r="16" spans="2:12" ht="18.75">
      <c r="B16" s="146">
        <v>4</v>
      </c>
      <c r="C16" s="258" t="s">
        <v>327</v>
      </c>
      <c r="D16" s="258"/>
      <c r="E16" s="2"/>
      <c r="F16" s="12"/>
      <c r="G16" s="12"/>
      <c r="H16" s="50" t="s">
        <v>81</v>
      </c>
      <c r="I16" s="9"/>
    </row>
    <row r="17" spans="2:9" ht="18.75">
      <c r="B17" s="146">
        <v>5</v>
      </c>
      <c r="C17" s="258" t="s">
        <v>328</v>
      </c>
      <c r="D17" s="258"/>
      <c r="E17" s="2"/>
      <c r="F17" s="12"/>
      <c r="G17" s="12"/>
      <c r="H17" s="50" t="s">
        <v>81</v>
      </c>
      <c r="I17" s="9"/>
    </row>
  </sheetData>
  <mergeCells count="16">
    <mergeCell ref="K2:L2"/>
    <mergeCell ref="C15:D15"/>
    <mergeCell ref="C16:D16"/>
    <mergeCell ref="C17:D17"/>
    <mergeCell ref="F10:H10"/>
    <mergeCell ref="I10:I11"/>
    <mergeCell ref="B11:D11"/>
    <mergeCell ref="C12:D12"/>
    <mergeCell ref="C13:D13"/>
    <mergeCell ref="C14:D14"/>
    <mergeCell ref="B9:D9"/>
    <mergeCell ref="B2:I2"/>
    <mergeCell ref="C4:D4"/>
    <mergeCell ref="C5:D5"/>
    <mergeCell ref="C6:D6"/>
    <mergeCell ref="B7:C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5ECF-912D-4651-ABAE-FBB9FB7981F7}">
  <sheetPr>
    <tabColor theme="7" tint="-0.499984740745262"/>
  </sheetPr>
  <dimension ref="B2:L26"/>
  <sheetViews>
    <sheetView topLeftCell="D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33" t="s">
        <v>2</v>
      </c>
      <c r="L2" s="234"/>
    </row>
    <row r="3" spans="2:12" ht="15" customHeight="1">
      <c r="K3" s="54" t="s">
        <v>67</v>
      </c>
      <c r="L3" s="57">
        <f>COUNT(B12:D100)</f>
        <v>14</v>
      </c>
    </row>
    <row r="4" spans="2:12" ht="15.75">
      <c r="B4" s="17" t="s">
        <v>68</v>
      </c>
      <c r="C4" s="358" t="e">
        <f ca="1">COUNTIF('No funcionales generales'!F12:F48,"x")+COUNTIF('Funcionales generales'!F12,"x")+COUNTIF('No funcionales synkro'!F12:F28,"x")+COUNTIF('Funcionales synkro'!F12:F30,"x")+COUNTIF('Funcionales Home'!F12:F20,"x")+COUNTIF('No Funcionales Home'!F12:F16,"x")+COUNTIF('Funcionales Shop'!F13:F21,"x")+COUNTIF('No Funcionales Shop'!F13:F17,"x")+COUNTIF('Funcionales Producto'!F13:F22,"x")+COUNTIF('No Funcionales Producto'!F13:F17,"x")+COUNTIF('Funcionales Carrito'!F13:F21,"x")+_xleta.COUNTIF</f>
        <v>#NAME?</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6.5" customHeight="1">
      <c r="B9" s="235"/>
      <c r="C9" s="235"/>
      <c r="D9" s="235"/>
      <c r="E9" s="20"/>
      <c r="F9" s="20"/>
      <c r="G9" s="20"/>
      <c r="H9" s="20"/>
      <c r="I9" s="20"/>
    </row>
    <row r="10" spans="2:12" ht="21" customHeight="1">
      <c r="F10" s="183" t="s">
        <v>77</v>
      </c>
      <c r="G10" s="184"/>
      <c r="H10" s="185"/>
      <c r="I10" s="186" t="s">
        <v>255</v>
      </c>
    </row>
    <row r="11" spans="2:12" ht="20.25" customHeight="1">
      <c r="B11" s="242" t="s">
        <v>329</v>
      </c>
      <c r="C11" s="242"/>
      <c r="D11" s="242"/>
      <c r="E11" s="1"/>
      <c r="F11" s="14" t="s">
        <v>68</v>
      </c>
      <c r="G11" s="15" t="s">
        <v>70</v>
      </c>
      <c r="H11" s="15" t="s">
        <v>72</v>
      </c>
      <c r="I11" s="186"/>
      <c r="J11" s="3"/>
    </row>
    <row r="12" spans="2:12" ht="11.25" customHeight="1">
      <c r="C12" s="363"/>
      <c r="D12" s="363"/>
      <c r="F12" s="13"/>
      <c r="G12" s="13"/>
      <c r="H12" s="13"/>
      <c r="I12" s="13"/>
    </row>
    <row r="13" spans="2:12" ht="18.75">
      <c r="B13" s="23">
        <v>1</v>
      </c>
      <c r="C13" s="236" t="s">
        <v>330</v>
      </c>
      <c r="D13" s="237"/>
      <c r="E13" s="2"/>
      <c r="F13" s="64"/>
      <c r="G13" s="64" t="s">
        <v>81</v>
      </c>
      <c r="H13" s="64"/>
      <c r="I13" s="9"/>
    </row>
    <row r="14" spans="2:12" ht="21.75" customHeight="1">
      <c r="B14" s="24">
        <v>2</v>
      </c>
      <c r="C14" s="238" t="s">
        <v>331</v>
      </c>
      <c r="D14" s="239"/>
      <c r="E14" s="22"/>
      <c r="F14" s="64"/>
      <c r="G14" s="64" t="s">
        <v>81</v>
      </c>
      <c r="H14" s="64"/>
      <c r="I14" s="9"/>
    </row>
    <row r="15" spans="2:12" ht="18.75">
      <c r="B15" s="24">
        <v>3</v>
      </c>
      <c r="C15" s="240" t="s">
        <v>332</v>
      </c>
      <c r="D15" s="241"/>
      <c r="E15" s="2"/>
      <c r="F15" s="64"/>
      <c r="G15" s="64" t="s">
        <v>81</v>
      </c>
      <c r="H15" s="64"/>
      <c r="I15" s="9"/>
    </row>
    <row r="16" spans="2:12" ht="18.75">
      <c r="B16" s="24">
        <v>4</v>
      </c>
      <c r="C16" s="245" t="s">
        <v>333</v>
      </c>
      <c r="D16" s="246"/>
      <c r="E16" s="2"/>
      <c r="F16" s="64"/>
      <c r="G16" s="64" t="s">
        <v>81</v>
      </c>
      <c r="H16" s="64"/>
      <c r="I16" s="9"/>
    </row>
    <row r="17" spans="2:9" ht="18.75">
      <c r="B17" s="24">
        <v>5</v>
      </c>
      <c r="C17" s="263" t="s">
        <v>334</v>
      </c>
      <c r="D17" s="248"/>
      <c r="E17" s="2"/>
      <c r="F17" s="64"/>
      <c r="G17" s="64" t="s">
        <v>81</v>
      </c>
      <c r="H17" s="64"/>
      <c r="I17" s="9"/>
    </row>
    <row r="18" spans="2:9" ht="18.75">
      <c r="B18" s="24">
        <v>6</v>
      </c>
      <c r="C18" s="247" t="s">
        <v>335</v>
      </c>
      <c r="D18" s="248"/>
      <c r="E18" s="2"/>
      <c r="F18" s="64"/>
      <c r="G18" s="64" t="s">
        <v>81</v>
      </c>
      <c r="H18" s="64"/>
      <c r="I18" s="9"/>
    </row>
    <row r="19" spans="2:9" ht="18.75">
      <c r="B19" s="24">
        <v>7</v>
      </c>
      <c r="C19" s="238" t="s">
        <v>336</v>
      </c>
      <c r="D19" s="251"/>
      <c r="E19" s="2"/>
      <c r="F19" s="64"/>
      <c r="G19" s="64" t="s">
        <v>81</v>
      </c>
      <c r="H19" s="64"/>
      <c r="I19" s="9"/>
    </row>
    <row r="20" spans="2:9" ht="18.75">
      <c r="B20" s="24">
        <v>8</v>
      </c>
      <c r="C20" s="261" t="s">
        <v>337</v>
      </c>
      <c r="D20" s="262"/>
      <c r="F20" s="64"/>
      <c r="G20" s="64" t="s">
        <v>81</v>
      </c>
      <c r="H20" s="64"/>
      <c r="I20" s="9"/>
    </row>
    <row r="21" spans="2:9" ht="18.75">
      <c r="B21" s="24">
        <v>9</v>
      </c>
      <c r="C21" s="259" t="s">
        <v>338</v>
      </c>
      <c r="D21" s="260"/>
      <c r="F21" s="64"/>
      <c r="G21" s="64" t="s">
        <v>81</v>
      </c>
      <c r="H21" s="64"/>
      <c r="I21" s="9"/>
    </row>
    <row r="22" spans="2:9" ht="18.75" customHeight="1">
      <c r="B22" s="24">
        <v>10</v>
      </c>
      <c r="C22" s="259" t="s">
        <v>339</v>
      </c>
      <c r="D22" s="260"/>
      <c r="E22" s="139"/>
    </row>
    <row r="23" spans="2:9" ht="18.75">
      <c r="B23" s="24">
        <v>11</v>
      </c>
    </row>
    <row r="24" spans="2:9" ht="18.75">
      <c r="B24" s="24">
        <v>12</v>
      </c>
    </row>
    <row r="25" spans="2:9" ht="18.75">
      <c r="B25" s="24">
        <v>13</v>
      </c>
    </row>
    <row r="26" spans="2:9" ht="18.75">
      <c r="B26" s="24">
        <v>14</v>
      </c>
    </row>
  </sheetData>
  <mergeCells count="21">
    <mergeCell ref="C15:D15"/>
    <mergeCell ref="C16:D16"/>
    <mergeCell ref="C17:D17"/>
    <mergeCell ref="C18:D18"/>
    <mergeCell ref="C19:D19"/>
    <mergeCell ref="C22:D22"/>
    <mergeCell ref="K2:L2"/>
    <mergeCell ref="B9:D9"/>
    <mergeCell ref="B2:I2"/>
    <mergeCell ref="C4:D4"/>
    <mergeCell ref="C5:D5"/>
    <mergeCell ref="C6:D6"/>
    <mergeCell ref="B7:C7"/>
    <mergeCell ref="C21:D21"/>
    <mergeCell ref="C20:D20"/>
    <mergeCell ref="F10:H10"/>
    <mergeCell ref="I10:I11"/>
    <mergeCell ref="B11:D11"/>
    <mergeCell ref="C12:D12"/>
    <mergeCell ref="C13:D13"/>
    <mergeCell ref="C14:D1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78A1-F162-4C4E-8B40-3A8A6B13C2E3}">
  <sheetPr>
    <tabColor theme="7" tint="-0.499984740745262"/>
  </sheetPr>
  <dimension ref="B2:L18"/>
  <sheetViews>
    <sheetView topLeftCell="D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253" t="s">
        <v>66</v>
      </c>
      <c r="C2" s="254"/>
      <c r="D2" s="254"/>
      <c r="E2" s="254"/>
      <c r="F2" s="254"/>
      <c r="G2" s="254"/>
      <c r="H2" s="254"/>
      <c r="I2" s="254"/>
      <c r="K2" s="233" t="s">
        <v>2</v>
      </c>
      <c r="L2" s="234"/>
    </row>
    <row r="3" spans="2:12" ht="15" customHeight="1">
      <c r="K3" s="54" t="s">
        <v>67</v>
      </c>
      <c r="L3" s="57">
        <f>COUNT(B12:D100)</f>
        <v>5</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6.5" customHeight="1">
      <c r="B9" s="252"/>
      <c r="C9" s="252"/>
      <c r="D9" s="252"/>
      <c r="E9" s="63"/>
      <c r="F9" s="63"/>
      <c r="G9" s="63"/>
      <c r="H9" s="63"/>
      <c r="I9" s="63"/>
    </row>
    <row r="10" spans="2:12" ht="21" customHeight="1">
      <c r="F10" s="183" t="s">
        <v>77</v>
      </c>
      <c r="G10" s="184"/>
      <c r="H10" s="185"/>
      <c r="I10" s="186" t="s">
        <v>255</v>
      </c>
    </row>
    <row r="11" spans="2:12" ht="20.25" customHeight="1">
      <c r="B11" s="242" t="s">
        <v>340</v>
      </c>
      <c r="C11" s="242"/>
      <c r="D11" s="242"/>
      <c r="E11" s="1"/>
      <c r="F11" s="14" t="s">
        <v>68</v>
      </c>
      <c r="G11" s="15" t="s">
        <v>70</v>
      </c>
      <c r="H11" s="15" t="s">
        <v>72</v>
      </c>
      <c r="I11" s="186"/>
      <c r="J11" s="3"/>
    </row>
    <row r="12" spans="2:12" ht="11.25" customHeight="1">
      <c r="C12" s="363"/>
      <c r="D12" s="363"/>
      <c r="F12" s="13"/>
      <c r="G12" s="13"/>
      <c r="H12" s="13"/>
      <c r="I12" s="13"/>
    </row>
    <row r="13" spans="2:12" ht="18.75">
      <c r="B13" s="23">
        <v>1</v>
      </c>
      <c r="C13" s="236" t="s">
        <v>341</v>
      </c>
      <c r="D13" s="237"/>
      <c r="E13" s="2"/>
      <c r="F13" s="64"/>
      <c r="G13" s="64" t="s">
        <v>81</v>
      </c>
      <c r="H13" s="64"/>
      <c r="I13" s="9"/>
    </row>
    <row r="14" spans="2:12" ht="18.75">
      <c r="B14" s="24">
        <v>2</v>
      </c>
      <c r="C14" s="238" t="s">
        <v>342</v>
      </c>
      <c r="D14" s="239"/>
      <c r="E14" s="22"/>
      <c r="F14" s="64"/>
      <c r="G14" s="64" t="s">
        <v>81</v>
      </c>
      <c r="H14" s="64"/>
      <c r="I14" s="9"/>
    </row>
    <row r="15" spans="2:12" ht="18.75">
      <c r="B15" s="24">
        <v>3</v>
      </c>
      <c r="C15" s="240" t="s">
        <v>343</v>
      </c>
      <c r="D15" s="241"/>
      <c r="E15" s="2"/>
      <c r="F15" s="64"/>
      <c r="G15" s="64" t="s">
        <v>81</v>
      </c>
      <c r="H15" s="64"/>
      <c r="I15" s="9"/>
    </row>
    <row r="16" spans="2:12" ht="18.75">
      <c r="B16" s="24">
        <v>4</v>
      </c>
      <c r="C16" s="245" t="s">
        <v>344</v>
      </c>
      <c r="D16" s="246"/>
      <c r="E16" s="2"/>
      <c r="F16" s="64"/>
      <c r="G16" s="64" t="s">
        <v>81</v>
      </c>
      <c r="H16" s="64"/>
      <c r="I16" s="9"/>
    </row>
    <row r="17" spans="2:9" ht="18.75">
      <c r="B17" s="24">
        <v>5</v>
      </c>
      <c r="C17" s="263" t="s">
        <v>345</v>
      </c>
      <c r="D17" s="248"/>
      <c r="E17" s="2"/>
      <c r="F17" s="64"/>
      <c r="G17" s="64" t="s">
        <v>81</v>
      </c>
      <c r="H17" s="64"/>
      <c r="I17" s="9"/>
    </row>
    <row r="18" spans="2:9">
      <c r="D18" s="49"/>
    </row>
  </sheetData>
  <mergeCells count="16">
    <mergeCell ref="K2:L2"/>
    <mergeCell ref="C15:D15"/>
    <mergeCell ref="C16:D16"/>
    <mergeCell ref="C17:D17"/>
    <mergeCell ref="F10:H10"/>
    <mergeCell ref="I10:I11"/>
    <mergeCell ref="B11:D11"/>
    <mergeCell ref="C12:D12"/>
    <mergeCell ref="C13:D13"/>
    <mergeCell ref="C14:D14"/>
    <mergeCell ref="B9:D9"/>
    <mergeCell ref="B2:I2"/>
    <mergeCell ref="C4:D4"/>
    <mergeCell ref="C5:D5"/>
    <mergeCell ref="C6:D6"/>
    <mergeCell ref="B7:C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0266-6CA4-4288-B6F1-B74C25CC233D}">
  <sheetPr>
    <tabColor theme="5" tint="-0.249977111117893"/>
  </sheetPr>
  <dimension ref="B2:L21"/>
  <sheetViews>
    <sheetView topLeftCell="D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180" t="s">
        <v>66</v>
      </c>
      <c r="C2" s="181"/>
      <c r="D2" s="181"/>
      <c r="E2" s="181"/>
      <c r="F2" s="181"/>
      <c r="G2" s="181"/>
      <c r="H2" s="181"/>
      <c r="I2" s="181"/>
      <c r="K2" s="264" t="s">
        <v>2</v>
      </c>
      <c r="L2" s="265"/>
    </row>
    <row r="3" spans="2:12" ht="15" customHeight="1">
      <c r="K3" s="54" t="s">
        <v>67</v>
      </c>
      <c r="L3" s="57">
        <f>COUNT(B12:D100)</f>
        <v>9</v>
      </c>
    </row>
    <row r="4" spans="2:12" ht="15.75">
      <c r="B4" s="17" t="s">
        <v>68</v>
      </c>
      <c r="C4" s="358" t="s">
        <v>69</v>
      </c>
      <c r="D4" s="358"/>
      <c r="K4" s="54" t="s">
        <v>15</v>
      </c>
      <c r="L4" s="57">
        <f>COUNTIF(F12:F100,"X")</f>
        <v>0</v>
      </c>
    </row>
    <row r="5" spans="2:12" ht="15.75">
      <c r="B5" s="17" t="s">
        <v>70</v>
      </c>
      <c r="C5" s="358" t="s">
        <v>71</v>
      </c>
      <c r="D5" s="358"/>
      <c r="K5" s="54" t="s">
        <v>74</v>
      </c>
      <c r="L5" s="57">
        <f>_xlfn.PERCENTOF(L4,L3)</f>
        <v>0</v>
      </c>
    </row>
    <row r="6" spans="2:12" ht="15.75">
      <c r="B6" s="17" t="s">
        <v>72</v>
      </c>
      <c r="C6" s="358" t="s">
        <v>73</v>
      </c>
      <c r="D6" s="358"/>
    </row>
    <row r="7" spans="2:12" ht="15.75">
      <c r="B7" s="226" t="s">
        <v>75</v>
      </c>
      <c r="C7" s="226"/>
      <c r="D7" s="18" t="s">
        <v>76</v>
      </c>
    </row>
    <row r="8" spans="2:12" ht="15.75">
      <c r="B8" s="19"/>
      <c r="C8" s="19"/>
      <c r="D8" s="18"/>
    </row>
    <row r="9" spans="2:12" ht="19.5" customHeight="1">
      <c r="B9" s="266"/>
      <c r="C9" s="266"/>
      <c r="D9" s="266"/>
      <c r="E9" s="20"/>
      <c r="F9" s="20"/>
      <c r="G9" s="20"/>
      <c r="H9" s="20"/>
      <c r="I9" s="20"/>
    </row>
    <row r="10" spans="2:12">
      <c r="F10" s="183" t="s">
        <v>77</v>
      </c>
      <c r="G10" s="184"/>
      <c r="H10" s="185"/>
      <c r="I10" s="186" t="s">
        <v>255</v>
      </c>
    </row>
    <row r="11" spans="2:12" s="28" customFormat="1" ht="21" customHeight="1">
      <c r="B11" s="269" t="s">
        <v>346</v>
      </c>
      <c r="C11" s="269"/>
      <c r="D11" s="269"/>
      <c r="E11" s="26"/>
      <c r="F11" s="14" t="s">
        <v>68</v>
      </c>
      <c r="G11" s="15" t="s">
        <v>70</v>
      </c>
      <c r="H11" s="15" t="s">
        <v>72</v>
      </c>
      <c r="I11" s="186"/>
      <c r="J11" s="27"/>
    </row>
    <row r="12" spans="2:12" ht="11.25" customHeight="1">
      <c r="C12" s="363"/>
      <c r="D12" s="363"/>
      <c r="F12" s="13"/>
      <c r="G12" s="13"/>
      <c r="H12" s="13"/>
      <c r="I12" s="13"/>
    </row>
    <row r="13" spans="2:12" ht="18.75">
      <c r="B13" s="25">
        <v>1</v>
      </c>
      <c r="C13" s="267" t="s">
        <v>347</v>
      </c>
      <c r="D13" s="268"/>
      <c r="E13" s="2"/>
      <c r="F13" s="12"/>
      <c r="G13" s="64" t="s">
        <v>81</v>
      </c>
      <c r="H13" s="12"/>
      <c r="I13" s="9"/>
    </row>
    <row r="14" spans="2:12" ht="18.75">
      <c r="B14" s="40">
        <v>2</v>
      </c>
      <c r="C14" s="267" t="s">
        <v>348</v>
      </c>
      <c r="D14" s="268"/>
      <c r="E14" s="2"/>
      <c r="F14" s="12"/>
      <c r="G14" s="64" t="s">
        <v>81</v>
      </c>
      <c r="H14" s="12"/>
      <c r="I14" s="9"/>
    </row>
    <row r="15" spans="2:12" ht="18.75">
      <c r="B15" s="40">
        <v>3</v>
      </c>
      <c r="C15" s="274" t="s">
        <v>349</v>
      </c>
      <c r="D15" s="271"/>
      <c r="F15" s="12"/>
      <c r="G15" s="64" t="s">
        <v>81</v>
      </c>
      <c r="H15" s="12"/>
      <c r="I15" s="9"/>
    </row>
    <row r="16" spans="2:12" ht="18.75">
      <c r="B16" s="40">
        <v>4</v>
      </c>
      <c r="C16" s="274" t="s">
        <v>350</v>
      </c>
      <c r="D16" s="271"/>
      <c r="F16" s="12"/>
      <c r="G16" s="64" t="s">
        <v>81</v>
      </c>
      <c r="H16" s="12"/>
      <c r="I16" s="9"/>
    </row>
    <row r="17" spans="2:9" ht="18.75">
      <c r="B17" s="40">
        <v>5</v>
      </c>
      <c r="C17" s="274" t="s">
        <v>351</v>
      </c>
      <c r="D17" s="271"/>
      <c r="F17" s="12"/>
      <c r="G17" s="64" t="s">
        <v>81</v>
      </c>
      <c r="H17" s="12"/>
      <c r="I17" s="9"/>
    </row>
    <row r="18" spans="2:9" ht="18.75">
      <c r="B18" s="41">
        <v>6</v>
      </c>
      <c r="C18" s="270" t="s">
        <v>352</v>
      </c>
      <c r="D18" s="271"/>
      <c r="F18" s="12"/>
      <c r="G18" s="64" t="s">
        <v>81</v>
      </c>
      <c r="H18" s="12"/>
      <c r="I18" s="9"/>
    </row>
    <row r="19" spans="2:9" ht="18.75">
      <c r="B19" s="41">
        <v>7</v>
      </c>
      <c r="C19" s="270" t="s">
        <v>353</v>
      </c>
      <c r="D19" s="271"/>
      <c r="F19" s="12"/>
      <c r="G19" s="64" t="s">
        <v>81</v>
      </c>
      <c r="H19" s="12"/>
      <c r="I19" s="9"/>
    </row>
    <row r="20" spans="2:9" ht="18.75">
      <c r="B20" s="39">
        <v>8</v>
      </c>
      <c r="C20" s="267" t="s">
        <v>354</v>
      </c>
      <c r="D20" s="268"/>
      <c r="F20" s="11"/>
      <c r="G20" s="64" t="s">
        <v>81</v>
      </c>
      <c r="H20" s="11"/>
      <c r="I20" s="10"/>
    </row>
    <row r="21" spans="2:9" ht="18.75">
      <c r="B21" s="66">
        <v>9</v>
      </c>
      <c r="C21" s="272" t="s">
        <v>355</v>
      </c>
      <c r="D21" s="273"/>
      <c r="F21" s="54"/>
      <c r="G21" s="64" t="s">
        <v>81</v>
      </c>
      <c r="H21" s="54"/>
      <c r="I21" s="54"/>
    </row>
  </sheetData>
  <mergeCells count="20">
    <mergeCell ref="C18:D18"/>
    <mergeCell ref="C19:D19"/>
    <mergeCell ref="C20:D20"/>
    <mergeCell ref="C21:D21"/>
    <mergeCell ref="C15:D15"/>
    <mergeCell ref="C16:D16"/>
    <mergeCell ref="C17:D17"/>
    <mergeCell ref="K2:L2"/>
    <mergeCell ref="B9:D9"/>
    <mergeCell ref="C14:D14"/>
    <mergeCell ref="B2:I2"/>
    <mergeCell ref="C4:D4"/>
    <mergeCell ref="C5:D5"/>
    <mergeCell ref="C6:D6"/>
    <mergeCell ref="B7:C7"/>
    <mergeCell ref="F10:H10"/>
    <mergeCell ref="I10:I11"/>
    <mergeCell ref="B11:D11"/>
    <mergeCell ref="C12:D12"/>
    <mergeCell ref="C13:D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55B3-91C1-429D-821E-A5A233918501}">
  <sheetPr>
    <tabColor theme="5" tint="-0.249977111117893"/>
  </sheetPr>
  <dimension ref="B2:L17"/>
  <sheetViews>
    <sheetView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2:12" ht="21.75" customHeight="1">
      <c r="B2" s="253" t="s">
        <v>66</v>
      </c>
      <c r="C2" s="254"/>
      <c r="D2" s="254"/>
      <c r="E2" s="254"/>
      <c r="F2" s="254"/>
      <c r="G2" s="254"/>
      <c r="H2" s="254"/>
      <c r="I2" s="254"/>
      <c r="K2" s="264" t="s">
        <v>2</v>
      </c>
      <c r="L2" s="265"/>
    </row>
    <row r="3" spans="2:12" ht="15" customHeight="1">
      <c r="K3" s="54" t="s">
        <v>67</v>
      </c>
      <c r="L3" s="57">
        <f>COUNT(B12:D100)</f>
        <v>5</v>
      </c>
    </row>
    <row r="4" spans="2:12" ht="15.75">
      <c r="B4" s="17" t="s">
        <v>68</v>
      </c>
      <c r="C4" s="358" t="s">
        <v>69</v>
      </c>
      <c r="D4" s="358"/>
      <c r="K4" s="54" t="s">
        <v>15</v>
      </c>
      <c r="L4" s="57">
        <f>COUNTIF(F12:F100,"X")</f>
        <v>1</v>
      </c>
    </row>
    <row r="5" spans="2:12" ht="15.75">
      <c r="B5" s="17" t="s">
        <v>70</v>
      </c>
      <c r="C5" s="358" t="s">
        <v>71</v>
      </c>
      <c r="D5" s="358"/>
      <c r="K5" s="54" t="s">
        <v>74</v>
      </c>
      <c r="L5" s="57">
        <f>_xlfn.PERCENTOF(L4,L3)</f>
        <v>0.2</v>
      </c>
    </row>
    <row r="6" spans="2:12" ht="15.75">
      <c r="B6" s="17" t="s">
        <v>72</v>
      </c>
      <c r="C6" s="358" t="s">
        <v>73</v>
      </c>
      <c r="D6" s="358"/>
    </row>
    <row r="7" spans="2:12" ht="15.75">
      <c r="B7" s="226" t="s">
        <v>75</v>
      </c>
      <c r="C7" s="226"/>
      <c r="D7" s="18" t="s">
        <v>76</v>
      </c>
    </row>
    <row r="8" spans="2:12" ht="15.75">
      <c r="B8" s="19"/>
      <c r="C8" s="19"/>
      <c r="D8" s="18"/>
    </row>
    <row r="9" spans="2:12" ht="19.5" customHeight="1">
      <c r="B9" s="275"/>
      <c r="C9" s="275"/>
      <c r="D9" s="275"/>
      <c r="E9" s="63"/>
      <c r="F9" s="63"/>
      <c r="G9" s="63"/>
      <c r="H9" s="63"/>
      <c r="I9" s="63"/>
    </row>
    <row r="10" spans="2:12">
      <c r="F10" s="183" t="s">
        <v>77</v>
      </c>
      <c r="G10" s="184"/>
      <c r="H10" s="185"/>
      <c r="I10" s="186" t="s">
        <v>255</v>
      </c>
    </row>
    <row r="11" spans="2:12" s="28" customFormat="1" ht="21" customHeight="1">
      <c r="B11" s="269" t="s">
        <v>356</v>
      </c>
      <c r="C11" s="269"/>
      <c r="D11" s="269"/>
      <c r="E11" s="26"/>
      <c r="F11" s="14" t="s">
        <v>68</v>
      </c>
      <c r="G11" s="15" t="s">
        <v>70</v>
      </c>
      <c r="H11" s="15" t="s">
        <v>72</v>
      </c>
      <c r="I11" s="186"/>
      <c r="J11" s="27"/>
    </row>
    <row r="12" spans="2:12" ht="11.25" customHeight="1">
      <c r="C12" s="363"/>
      <c r="D12" s="363"/>
      <c r="F12" s="13"/>
      <c r="G12" s="13"/>
      <c r="H12" s="13"/>
      <c r="I12" s="13"/>
    </row>
    <row r="13" spans="2:12" ht="18.75">
      <c r="B13" s="25">
        <v>1</v>
      </c>
      <c r="C13" s="267" t="s">
        <v>357</v>
      </c>
      <c r="D13" s="268"/>
      <c r="E13" s="2"/>
      <c r="F13" s="64" t="s">
        <v>81</v>
      </c>
      <c r="G13" s="64"/>
      <c r="H13" s="64"/>
      <c r="I13" s="9"/>
    </row>
    <row r="14" spans="2:12" ht="18.75">
      <c r="B14" s="40">
        <v>2</v>
      </c>
      <c r="C14" s="267" t="s">
        <v>358</v>
      </c>
      <c r="D14" s="268"/>
      <c r="E14" s="2"/>
      <c r="F14" s="64"/>
      <c r="G14" s="64" t="s">
        <v>81</v>
      </c>
      <c r="H14" s="64"/>
      <c r="I14" s="9"/>
    </row>
    <row r="15" spans="2:12" ht="18.75">
      <c r="B15" s="40">
        <v>3</v>
      </c>
      <c r="C15" s="274" t="s">
        <v>359</v>
      </c>
      <c r="D15" s="271"/>
      <c r="F15" s="64"/>
      <c r="G15" s="64" t="s">
        <v>81</v>
      </c>
      <c r="H15" s="64"/>
      <c r="I15" s="9"/>
    </row>
    <row r="16" spans="2:12" ht="18.75">
      <c r="B16" s="40">
        <v>4</v>
      </c>
      <c r="C16" s="274" t="s">
        <v>360</v>
      </c>
      <c r="D16" s="271"/>
      <c r="F16" s="64"/>
      <c r="G16" s="64" t="s">
        <v>81</v>
      </c>
      <c r="H16" s="64"/>
      <c r="I16" s="9"/>
    </row>
    <row r="17" spans="2:9" ht="18.75">
      <c r="B17" s="40">
        <v>5</v>
      </c>
      <c r="C17" s="274" t="s">
        <v>361</v>
      </c>
      <c r="D17" s="271"/>
      <c r="F17" s="64"/>
      <c r="G17" s="64" t="s">
        <v>81</v>
      </c>
      <c r="H17" s="64"/>
      <c r="I17" s="9"/>
    </row>
  </sheetData>
  <mergeCells count="16">
    <mergeCell ref="K2:L2"/>
    <mergeCell ref="C15:D15"/>
    <mergeCell ref="C16:D16"/>
    <mergeCell ref="C17:D17"/>
    <mergeCell ref="F10:H10"/>
    <mergeCell ref="I10:I11"/>
    <mergeCell ref="B11:D11"/>
    <mergeCell ref="C12:D12"/>
    <mergeCell ref="C13:D13"/>
    <mergeCell ref="C14:D14"/>
    <mergeCell ref="B9:D9"/>
    <mergeCell ref="B2:I2"/>
    <mergeCell ref="C4:D4"/>
    <mergeCell ref="C5:D5"/>
    <mergeCell ref="C6:D6"/>
    <mergeCell ref="B7:C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B704-A1CB-4933-B9B8-B1BAE4C598FB}">
  <sheetPr>
    <tabColor rgb="FF7030A0"/>
  </sheetPr>
  <dimension ref="A2:L21"/>
  <sheetViews>
    <sheetView topLeftCell="D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140625" bestFit="1" customWidth="1"/>
  </cols>
  <sheetData>
    <row r="2" spans="1:12" ht="21.75" customHeight="1">
      <c r="B2" s="180" t="s">
        <v>66</v>
      </c>
      <c r="C2" s="181"/>
      <c r="D2" s="181"/>
      <c r="E2" s="181"/>
      <c r="F2" s="181"/>
      <c r="G2" s="181"/>
      <c r="H2" s="181"/>
      <c r="I2" s="181"/>
      <c r="K2" s="276" t="s">
        <v>2</v>
      </c>
      <c r="L2" s="277"/>
    </row>
    <row r="3" spans="1:12" ht="15" customHeight="1">
      <c r="K3" s="54" t="s">
        <v>67</v>
      </c>
      <c r="L3" s="57">
        <f>COUNT(B12:D100)</f>
        <v>8</v>
      </c>
    </row>
    <row r="4" spans="1:12" ht="15.75">
      <c r="B4" s="17" t="s">
        <v>68</v>
      </c>
      <c r="C4" s="358" t="s">
        <v>69</v>
      </c>
      <c r="D4" s="358"/>
      <c r="K4" s="54" t="s">
        <v>15</v>
      </c>
      <c r="L4" s="57">
        <f>COUNTIF(F12:F100,"X")</f>
        <v>0</v>
      </c>
    </row>
    <row r="5" spans="1:12" ht="15.75">
      <c r="B5" s="17" t="s">
        <v>70</v>
      </c>
      <c r="C5" s="358" t="s">
        <v>71</v>
      </c>
      <c r="D5" s="358"/>
      <c r="K5" s="54" t="s">
        <v>74</v>
      </c>
      <c r="L5" s="57">
        <f>_xlfn.PERCENTOF(L4,L3)</f>
        <v>0</v>
      </c>
    </row>
    <row r="6" spans="1:12" ht="15.75">
      <c r="B6" s="17" t="s">
        <v>72</v>
      </c>
      <c r="C6" s="358" t="s">
        <v>73</v>
      </c>
      <c r="D6" s="358"/>
    </row>
    <row r="7" spans="1:12" ht="15.75">
      <c r="B7" s="226" t="s">
        <v>75</v>
      </c>
      <c r="C7" s="226"/>
      <c r="D7" s="18" t="s">
        <v>76</v>
      </c>
    </row>
    <row r="8" spans="1:12" ht="15.75">
      <c r="B8" s="19"/>
      <c r="C8" s="19"/>
      <c r="D8" s="18"/>
    </row>
    <row r="9" spans="1:12" ht="22.5" customHeight="1">
      <c r="B9" s="266"/>
      <c r="C9" s="266"/>
      <c r="D9" s="266"/>
      <c r="E9" s="20"/>
      <c r="F9" s="20"/>
      <c r="G9" s="20"/>
      <c r="H9" s="20"/>
      <c r="I9" s="20"/>
    </row>
    <row r="10" spans="1:12">
      <c r="F10" s="183" t="s">
        <v>77</v>
      </c>
      <c r="G10" s="184"/>
      <c r="H10" s="185"/>
      <c r="I10" s="186" t="s">
        <v>255</v>
      </c>
    </row>
    <row r="11" spans="1:12" ht="20.25" customHeight="1">
      <c r="B11" s="278" t="s">
        <v>362</v>
      </c>
      <c r="C11" s="278"/>
      <c r="D11" s="278"/>
      <c r="E11" s="1"/>
      <c r="F11" s="14" t="s">
        <v>68</v>
      </c>
      <c r="G11" s="15" t="s">
        <v>70</v>
      </c>
      <c r="H11" s="15" t="s">
        <v>72</v>
      </c>
      <c r="I11" s="186"/>
      <c r="J11" s="3"/>
    </row>
    <row r="12" spans="1:12" ht="11.25" customHeight="1">
      <c r="C12" s="363"/>
      <c r="D12" s="363"/>
      <c r="F12" s="13"/>
      <c r="G12" s="13"/>
      <c r="H12" s="13"/>
      <c r="I12" s="13"/>
    </row>
    <row r="13" spans="1:12" ht="18.75">
      <c r="A13" s="30"/>
      <c r="B13" s="31">
        <v>1</v>
      </c>
      <c r="C13" s="284" t="s">
        <v>363</v>
      </c>
      <c r="D13" s="285"/>
      <c r="E13" s="2"/>
      <c r="F13" s="12"/>
      <c r="G13" s="12"/>
      <c r="H13" s="50" t="s">
        <v>81</v>
      </c>
      <c r="I13" s="9"/>
    </row>
    <row r="14" spans="1:12" ht="18.75">
      <c r="A14" s="30"/>
      <c r="B14" s="32">
        <v>2</v>
      </c>
      <c r="C14" s="238" t="s">
        <v>364</v>
      </c>
      <c r="D14" s="286"/>
      <c r="E14" s="2"/>
      <c r="F14" s="12"/>
      <c r="G14" s="12"/>
      <c r="H14" s="50" t="s">
        <v>81</v>
      </c>
      <c r="I14" s="9"/>
    </row>
    <row r="15" spans="1:12" ht="18.75">
      <c r="A15" s="30"/>
      <c r="B15" s="34">
        <v>3</v>
      </c>
      <c r="C15" s="287" t="s">
        <v>365</v>
      </c>
      <c r="D15" s="288"/>
      <c r="E15" s="2"/>
      <c r="F15" s="12"/>
      <c r="G15" s="12"/>
      <c r="H15" s="50" t="s">
        <v>81</v>
      </c>
      <c r="I15" s="9"/>
    </row>
    <row r="16" spans="1:12" ht="18.75">
      <c r="A16" s="30"/>
      <c r="B16" s="32">
        <v>4</v>
      </c>
      <c r="C16" s="249" t="s">
        <v>366</v>
      </c>
      <c r="D16" s="281"/>
      <c r="E16" s="2"/>
      <c r="F16" s="12"/>
      <c r="G16" s="12"/>
      <c r="H16" s="50" t="s">
        <v>81</v>
      </c>
      <c r="I16" s="9"/>
    </row>
    <row r="17" spans="1:9" ht="18.75">
      <c r="A17" s="30"/>
      <c r="B17" s="32">
        <v>5</v>
      </c>
      <c r="C17" s="282" t="s">
        <v>367</v>
      </c>
      <c r="D17" s="283"/>
      <c r="E17" s="2"/>
      <c r="F17" s="12"/>
      <c r="G17" s="12"/>
      <c r="H17" s="50" t="s">
        <v>81</v>
      </c>
      <c r="I17" s="9"/>
    </row>
    <row r="18" spans="1:9" ht="18.75">
      <c r="A18" s="30"/>
      <c r="B18" s="32">
        <v>6</v>
      </c>
      <c r="C18" s="249" t="s">
        <v>368</v>
      </c>
      <c r="D18" s="281"/>
      <c r="E18" s="2"/>
      <c r="F18" s="12"/>
      <c r="G18" s="12"/>
      <c r="H18" s="50" t="s">
        <v>81</v>
      </c>
      <c r="I18" s="9"/>
    </row>
    <row r="19" spans="1:9" ht="18.75">
      <c r="B19" s="32">
        <v>7</v>
      </c>
      <c r="C19" s="282" t="s">
        <v>369</v>
      </c>
      <c r="D19" s="283"/>
      <c r="E19" s="2"/>
      <c r="F19" s="11"/>
      <c r="G19" s="11"/>
      <c r="H19" s="50" t="s">
        <v>81</v>
      </c>
      <c r="I19" s="10"/>
    </row>
    <row r="20" spans="1:9" ht="18.75">
      <c r="B20" s="33">
        <v>8</v>
      </c>
      <c r="C20" s="279" t="s">
        <v>370</v>
      </c>
      <c r="D20" s="280"/>
      <c r="F20" s="54"/>
      <c r="G20" s="54"/>
      <c r="H20" s="50" t="s">
        <v>81</v>
      </c>
      <c r="I20" s="54"/>
    </row>
    <row r="21" spans="1:9">
      <c r="C21" s="29"/>
      <c r="D21" s="29"/>
    </row>
  </sheetData>
  <mergeCells count="19">
    <mergeCell ref="C20:D20"/>
    <mergeCell ref="C18:D18"/>
    <mergeCell ref="C19:D19"/>
    <mergeCell ref="B9:D9"/>
    <mergeCell ref="C13:D13"/>
    <mergeCell ref="C14:D14"/>
    <mergeCell ref="C15:D15"/>
    <mergeCell ref="C17:D17"/>
    <mergeCell ref="C16:D16"/>
    <mergeCell ref="K2:L2"/>
    <mergeCell ref="F10:H10"/>
    <mergeCell ref="I10:I11"/>
    <mergeCell ref="B11:D11"/>
    <mergeCell ref="C12:D12"/>
    <mergeCell ref="B2:I2"/>
    <mergeCell ref="C4:D4"/>
    <mergeCell ref="C5:D5"/>
    <mergeCell ref="C6:D6"/>
    <mergeCell ref="B7:C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F5E55-E60E-4661-955B-CC56007E643C}">
  <sheetPr>
    <tabColor rgb="FF7030A0"/>
  </sheetPr>
  <dimension ref="A2:L18"/>
  <sheetViews>
    <sheetView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1:12" ht="21.75" customHeight="1">
      <c r="B2" s="180" t="s">
        <v>66</v>
      </c>
      <c r="C2" s="181"/>
      <c r="D2" s="181"/>
      <c r="E2" s="181"/>
      <c r="F2" s="181"/>
      <c r="G2" s="181"/>
      <c r="H2" s="181"/>
      <c r="I2" s="181"/>
      <c r="K2" s="276" t="s">
        <v>2</v>
      </c>
      <c r="L2" s="277"/>
    </row>
    <row r="3" spans="1:12" ht="15" customHeight="1">
      <c r="K3" s="54" t="s">
        <v>67</v>
      </c>
      <c r="L3" s="57">
        <f>COUNT(B12:D100)</f>
        <v>5</v>
      </c>
    </row>
    <row r="4" spans="1:12" ht="15.75">
      <c r="B4" s="17" t="s">
        <v>68</v>
      </c>
      <c r="C4" s="358" t="s">
        <v>69</v>
      </c>
      <c r="D4" s="358"/>
      <c r="K4" s="54" t="s">
        <v>15</v>
      </c>
      <c r="L4" s="57">
        <f>COUNTIF(F12:F100,"X")</f>
        <v>0</v>
      </c>
    </row>
    <row r="5" spans="1:12" ht="15.75">
      <c r="B5" s="17" t="s">
        <v>70</v>
      </c>
      <c r="C5" s="358" t="s">
        <v>71</v>
      </c>
      <c r="D5" s="358"/>
      <c r="K5" s="54" t="s">
        <v>74</v>
      </c>
      <c r="L5" s="57">
        <f>_xlfn.PERCENTOF(L4,L3)</f>
        <v>0</v>
      </c>
    </row>
    <row r="6" spans="1:12" ht="15.75">
      <c r="B6" s="17" t="s">
        <v>72</v>
      </c>
      <c r="C6" s="358" t="s">
        <v>73</v>
      </c>
      <c r="D6" s="358"/>
    </row>
    <row r="7" spans="1:12" ht="15.75">
      <c r="B7" s="226" t="s">
        <v>75</v>
      </c>
      <c r="C7" s="226"/>
      <c r="D7" s="18" t="s">
        <v>76</v>
      </c>
    </row>
    <row r="8" spans="1:12" ht="15.75">
      <c r="B8" s="19"/>
      <c r="C8" s="19"/>
      <c r="D8" s="18"/>
    </row>
    <row r="9" spans="1:12" ht="22.5" customHeight="1">
      <c r="B9" s="266"/>
      <c r="C9" s="266"/>
      <c r="D9" s="266"/>
      <c r="E9" s="20"/>
      <c r="F9" s="20"/>
      <c r="G9" s="20"/>
      <c r="H9" s="20"/>
      <c r="I9" s="20"/>
    </row>
    <row r="10" spans="1:12">
      <c r="F10" s="183" t="s">
        <v>77</v>
      </c>
      <c r="G10" s="184"/>
      <c r="H10" s="185"/>
      <c r="I10" s="186" t="s">
        <v>255</v>
      </c>
    </row>
    <row r="11" spans="1:12" ht="20.25" customHeight="1">
      <c r="B11" s="278" t="s">
        <v>362</v>
      </c>
      <c r="C11" s="278"/>
      <c r="D11" s="278"/>
      <c r="E11" s="1"/>
      <c r="F11" s="14" t="s">
        <v>68</v>
      </c>
      <c r="G11" s="15" t="s">
        <v>70</v>
      </c>
      <c r="H11" s="15" t="s">
        <v>72</v>
      </c>
      <c r="I11" s="186"/>
      <c r="J11" s="3"/>
    </row>
    <row r="12" spans="1:12" ht="11.25" customHeight="1">
      <c r="C12" s="363"/>
      <c r="D12" s="363"/>
      <c r="F12" s="13"/>
      <c r="G12" s="13"/>
      <c r="H12" s="13"/>
      <c r="I12" s="13"/>
    </row>
    <row r="13" spans="1:12" ht="18.75">
      <c r="A13" s="30"/>
      <c r="B13" s="31">
        <v>1</v>
      </c>
      <c r="C13" s="284" t="s">
        <v>371</v>
      </c>
      <c r="D13" s="285"/>
      <c r="E13" s="2"/>
      <c r="F13" s="12"/>
      <c r="G13" s="12"/>
      <c r="H13" s="50" t="s">
        <v>81</v>
      </c>
      <c r="I13" s="9"/>
    </row>
    <row r="14" spans="1:12" ht="18.75">
      <c r="A14" s="30"/>
      <c r="B14" s="32">
        <v>2</v>
      </c>
      <c r="C14" s="238" t="s">
        <v>372</v>
      </c>
      <c r="D14" s="286"/>
      <c r="E14" s="2"/>
      <c r="F14" s="12"/>
      <c r="G14" s="12"/>
      <c r="H14" s="50" t="s">
        <v>81</v>
      </c>
      <c r="I14" s="9"/>
    </row>
    <row r="15" spans="1:12" ht="18.75">
      <c r="A15" s="30"/>
      <c r="B15" s="34">
        <v>3</v>
      </c>
      <c r="C15" s="287" t="s">
        <v>373</v>
      </c>
      <c r="D15" s="288"/>
      <c r="E15" s="2"/>
      <c r="F15" s="12"/>
      <c r="G15" s="12"/>
      <c r="H15" s="50" t="s">
        <v>81</v>
      </c>
      <c r="I15" s="9"/>
    </row>
    <row r="16" spans="1:12" ht="18.75">
      <c r="A16" s="30"/>
      <c r="B16" s="32">
        <v>4</v>
      </c>
      <c r="C16" s="249" t="s">
        <v>374</v>
      </c>
      <c r="D16" s="281"/>
      <c r="E16" s="2"/>
      <c r="F16" s="12"/>
      <c r="G16" s="12"/>
      <c r="H16" s="50" t="s">
        <v>81</v>
      </c>
      <c r="I16" s="9"/>
    </row>
    <row r="17" spans="1:9" ht="18.75">
      <c r="A17" s="30"/>
      <c r="B17" s="32">
        <v>5</v>
      </c>
      <c r="C17" s="282" t="s">
        <v>375</v>
      </c>
      <c r="D17" s="283"/>
      <c r="E17" s="2"/>
      <c r="F17" s="12"/>
      <c r="G17" s="12"/>
      <c r="H17" s="50" t="s">
        <v>81</v>
      </c>
      <c r="I17" s="9"/>
    </row>
    <row r="18" spans="1:9">
      <c r="C18" s="29"/>
      <c r="D18" s="29"/>
    </row>
  </sheetData>
  <mergeCells count="16">
    <mergeCell ref="K2:L2"/>
    <mergeCell ref="C15:D15"/>
    <mergeCell ref="C16:D16"/>
    <mergeCell ref="C17:D17"/>
    <mergeCell ref="F10:H10"/>
    <mergeCell ref="I10:I11"/>
    <mergeCell ref="B11:D11"/>
    <mergeCell ref="C12:D12"/>
    <mergeCell ref="C13:D13"/>
    <mergeCell ref="C14:D14"/>
    <mergeCell ref="B9:D9"/>
    <mergeCell ref="B2:I2"/>
    <mergeCell ref="C4:D4"/>
    <mergeCell ref="C5:D5"/>
    <mergeCell ref="C6:D6"/>
    <mergeCell ref="B7:C7"/>
  </mergeCell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0A3C-58F2-40CE-A356-DFD3CBC429CD}">
  <sheetPr>
    <tabColor rgb="FF800000"/>
  </sheetPr>
  <dimension ref="A2:L22"/>
  <sheetViews>
    <sheetView topLeftCell="D1"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1:12" ht="21.75" customHeight="1">
      <c r="B2" s="180" t="s">
        <v>66</v>
      </c>
      <c r="C2" s="181"/>
      <c r="D2" s="181"/>
      <c r="E2" s="181"/>
      <c r="F2" s="181"/>
      <c r="G2" s="181"/>
      <c r="H2" s="181"/>
      <c r="I2" s="181"/>
      <c r="K2" s="289" t="s">
        <v>2</v>
      </c>
      <c r="L2" s="290"/>
    </row>
    <row r="3" spans="1:12" ht="15" customHeight="1">
      <c r="K3" s="54" t="s">
        <v>67</v>
      </c>
      <c r="L3" s="57">
        <f>COUNT(B12:D100)</f>
        <v>9</v>
      </c>
    </row>
    <row r="4" spans="1:12" ht="15.75">
      <c r="B4" s="17" t="s">
        <v>68</v>
      </c>
      <c r="C4" s="358" t="s">
        <v>69</v>
      </c>
      <c r="D4" s="358"/>
      <c r="K4" s="54" t="s">
        <v>15</v>
      </c>
      <c r="L4" s="57">
        <f>COUNTIF(F12:F100,"X")</f>
        <v>0</v>
      </c>
    </row>
    <row r="5" spans="1:12" ht="15.75">
      <c r="B5" s="17" t="s">
        <v>70</v>
      </c>
      <c r="C5" s="358" t="s">
        <v>71</v>
      </c>
      <c r="D5" s="358"/>
      <c r="K5" s="54" t="s">
        <v>74</v>
      </c>
      <c r="L5" s="57">
        <f>_xlfn.PERCENTOF(L4,L3)</f>
        <v>0</v>
      </c>
    </row>
    <row r="6" spans="1:12" ht="15.75">
      <c r="B6" s="17" t="s">
        <v>72</v>
      </c>
      <c r="C6" s="358" t="s">
        <v>73</v>
      </c>
      <c r="D6" s="358"/>
    </row>
    <row r="7" spans="1:12" ht="15.75">
      <c r="B7" s="226" t="s">
        <v>75</v>
      </c>
      <c r="C7" s="226"/>
      <c r="D7" s="18" t="s">
        <v>76</v>
      </c>
    </row>
    <row r="8" spans="1:12" ht="15.75">
      <c r="B8" s="19"/>
      <c r="C8" s="19"/>
      <c r="D8" s="18"/>
    </row>
    <row r="9" spans="1:12" ht="18.75" customHeight="1">
      <c r="B9" s="266" t="s">
        <v>376</v>
      </c>
      <c r="C9" s="266"/>
      <c r="D9" s="266"/>
      <c r="E9" s="20"/>
      <c r="F9" s="20"/>
      <c r="G9" s="20"/>
      <c r="H9" s="20"/>
      <c r="I9" s="20"/>
    </row>
    <row r="10" spans="1:12">
      <c r="F10" s="183" t="s">
        <v>77</v>
      </c>
      <c r="G10" s="184"/>
      <c r="H10" s="185"/>
      <c r="I10" s="186" t="s">
        <v>255</v>
      </c>
    </row>
    <row r="11" spans="1:12" ht="21.75" customHeight="1">
      <c r="B11" s="293" t="s">
        <v>377</v>
      </c>
      <c r="C11" s="293"/>
      <c r="D11" s="293"/>
      <c r="E11" s="1"/>
      <c r="F11" s="14" t="s">
        <v>68</v>
      </c>
      <c r="G11" s="15" t="s">
        <v>70</v>
      </c>
      <c r="H11" s="15" t="s">
        <v>72</v>
      </c>
      <c r="I11" s="186"/>
      <c r="J11" s="3"/>
    </row>
    <row r="12" spans="1:12" ht="11.25" customHeight="1">
      <c r="C12" s="363"/>
      <c r="D12" s="363"/>
      <c r="F12" s="13"/>
      <c r="G12" s="13"/>
      <c r="H12" s="13"/>
      <c r="I12" s="13"/>
    </row>
    <row r="13" spans="1:12" ht="18.75">
      <c r="A13" s="43"/>
      <c r="B13" s="44">
        <v>1</v>
      </c>
      <c r="C13" s="294" t="s">
        <v>378</v>
      </c>
      <c r="D13" s="295"/>
      <c r="E13" s="2"/>
      <c r="F13" s="12"/>
      <c r="G13" s="12"/>
      <c r="H13" s="12"/>
      <c r="I13" s="9"/>
    </row>
    <row r="14" spans="1:12" ht="18.75">
      <c r="A14" s="43"/>
      <c r="B14" s="45">
        <v>2</v>
      </c>
      <c r="C14" s="294" t="s">
        <v>379</v>
      </c>
      <c r="D14" s="295"/>
      <c r="E14" s="2"/>
      <c r="F14" s="12"/>
      <c r="G14" s="12"/>
      <c r="H14" s="12"/>
      <c r="I14" s="9"/>
    </row>
    <row r="15" spans="1:12" ht="18.75">
      <c r="A15" s="43"/>
      <c r="B15" s="46">
        <v>3</v>
      </c>
      <c r="C15" s="291" t="s">
        <v>380</v>
      </c>
      <c r="D15" s="292"/>
    </row>
    <row r="16" spans="1:12" ht="18.75">
      <c r="B16" s="46">
        <v>4</v>
      </c>
      <c r="C16" s="296" t="s">
        <v>381</v>
      </c>
      <c r="D16" s="297"/>
    </row>
    <row r="17" spans="2:4" ht="18.75">
      <c r="B17" s="46">
        <v>5</v>
      </c>
      <c r="C17" s="296" t="s">
        <v>382</v>
      </c>
      <c r="D17" s="297"/>
    </row>
    <row r="18" spans="2:4" ht="18.75">
      <c r="B18" s="46">
        <v>6</v>
      </c>
      <c r="C18" s="296" t="s">
        <v>383</v>
      </c>
      <c r="D18" s="297"/>
    </row>
    <row r="19" spans="2:4" ht="18.75">
      <c r="B19" s="46">
        <v>7</v>
      </c>
      <c r="C19" s="296" t="s">
        <v>384</v>
      </c>
      <c r="D19" s="297"/>
    </row>
    <row r="20" spans="2:4" ht="18.75">
      <c r="B20" s="46">
        <v>8</v>
      </c>
      <c r="C20" s="296" t="s">
        <v>385</v>
      </c>
      <c r="D20" s="297"/>
    </row>
    <row r="21" spans="2:4" ht="18.75">
      <c r="B21" s="47">
        <v>9</v>
      </c>
      <c r="C21" s="291" t="s">
        <v>386</v>
      </c>
      <c r="D21" s="292"/>
    </row>
    <row r="22" spans="2:4">
      <c r="B22" s="42"/>
    </row>
  </sheetData>
  <mergeCells count="20">
    <mergeCell ref="C15:D15"/>
    <mergeCell ref="C21:D21"/>
    <mergeCell ref="F10:H10"/>
    <mergeCell ref="I10:I11"/>
    <mergeCell ref="B11:D11"/>
    <mergeCell ref="C12:D12"/>
    <mergeCell ref="C13:D13"/>
    <mergeCell ref="C14:D14"/>
    <mergeCell ref="C16:D16"/>
    <mergeCell ref="C17:D17"/>
    <mergeCell ref="C18:D18"/>
    <mergeCell ref="C19:D19"/>
    <mergeCell ref="C20:D20"/>
    <mergeCell ref="K2:L2"/>
    <mergeCell ref="B9:D9"/>
    <mergeCell ref="B2:I2"/>
    <mergeCell ref="C4:D4"/>
    <mergeCell ref="C5:D5"/>
    <mergeCell ref="C6:D6"/>
    <mergeCell ref="B7:C7"/>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9665-318A-48FB-BE3D-558E3FE97838}">
  <sheetPr>
    <tabColor rgb="FF800000"/>
  </sheetPr>
  <dimension ref="A2:L18"/>
  <sheetViews>
    <sheetView zoomScale="90" zoomScaleNormal="90"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1:12" ht="21.75" customHeight="1">
      <c r="B2" s="253" t="s">
        <v>66</v>
      </c>
      <c r="C2" s="254"/>
      <c r="D2" s="254"/>
      <c r="E2" s="254"/>
      <c r="F2" s="254"/>
      <c r="G2" s="254"/>
      <c r="H2" s="254"/>
      <c r="I2" s="254"/>
      <c r="K2" s="289" t="s">
        <v>2</v>
      </c>
      <c r="L2" s="290"/>
    </row>
    <row r="3" spans="1:12" ht="15" customHeight="1">
      <c r="K3" s="54" t="s">
        <v>67</v>
      </c>
      <c r="L3" s="57">
        <f>COUNT(B12:D100)</f>
        <v>5</v>
      </c>
    </row>
    <row r="4" spans="1:12" ht="15.75">
      <c r="B4" s="17" t="s">
        <v>68</v>
      </c>
      <c r="C4" s="358" t="s">
        <v>69</v>
      </c>
      <c r="D4" s="358"/>
      <c r="K4" s="54" t="s">
        <v>15</v>
      </c>
      <c r="L4" s="57">
        <f>COUNTIF(F12:F100,"X")</f>
        <v>0</v>
      </c>
    </row>
    <row r="5" spans="1:12" ht="15.75">
      <c r="B5" s="17" t="s">
        <v>70</v>
      </c>
      <c r="C5" s="358" t="s">
        <v>71</v>
      </c>
      <c r="D5" s="358"/>
      <c r="K5" s="54" t="s">
        <v>74</v>
      </c>
      <c r="L5" s="57">
        <f>_xlfn.PERCENTOF(L4,L3)</f>
        <v>0</v>
      </c>
    </row>
    <row r="6" spans="1:12" ht="15.75">
      <c r="B6" s="17" t="s">
        <v>72</v>
      </c>
      <c r="C6" s="358" t="s">
        <v>73</v>
      </c>
      <c r="D6" s="358"/>
    </row>
    <row r="7" spans="1:12" ht="15.75">
      <c r="B7" s="226" t="s">
        <v>75</v>
      </c>
      <c r="C7" s="226"/>
      <c r="D7" s="18" t="s">
        <v>76</v>
      </c>
    </row>
    <row r="8" spans="1:12" ht="15.75">
      <c r="B8" s="19"/>
      <c r="C8" s="19"/>
      <c r="D8" s="18"/>
    </row>
    <row r="9" spans="1:12" ht="18.75" customHeight="1">
      <c r="B9" s="275" t="s">
        <v>376</v>
      </c>
      <c r="C9" s="275"/>
      <c r="D9" s="275"/>
      <c r="E9" s="63"/>
      <c r="F9" s="63"/>
      <c r="G9" s="63"/>
      <c r="H9" s="63"/>
      <c r="I9" s="63"/>
    </row>
    <row r="10" spans="1:12">
      <c r="F10" s="183" t="s">
        <v>77</v>
      </c>
      <c r="G10" s="184"/>
      <c r="H10" s="185"/>
      <c r="I10" s="186" t="s">
        <v>255</v>
      </c>
    </row>
    <row r="11" spans="1:12" ht="21.75" customHeight="1">
      <c r="B11" s="293" t="s">
        <v>387</v>
      </c>
      <c r="C11" s="293"/>
      <c r="D11" s="293"/>
      <c r="E11" s="1"/>
      <c r="F11" s="14" t="s">
        <v>68</v>
      </c>
      <c r="G11" s="15" t="s">
        <v>70</v>
      </c>
      <c r="H11" s="15" t="s">
        <v>72</v>
      </c>
      <c r="I11" s="186"/>
      <c r="J11" s="3"/>
    </row>
    <row r="12" spans="1:12" ht="11.25" customHeight="1">
      <c r="C12" s="363"/>
      <c r="D12" s="363"/>
      <c r="F12" s="13"/>
      <c r="G12" s="13"/>
      <c r="H12" s="13"/>
      <c r="I12" s="13"/>
    </row>
    <row r="13" spans="1:12" ht="18.75">
      <c r="A13" s="43"/>
      <c r="B13" s="44">
        <v>1</v>
      </c>
      <c r="C13" s="294" t="s">
        <v>388</v>
      </c>
      <c r="D13" s="295"/>
      <c r="E13" s="2"/>
      <c r="F13" s="12"/>
      <c r="G13" s="12"/>
      <c r="H13" s="12"/>
      <c r="I13" s="9"/>
    </row>
    <row r="14" spans="1:12" ht="18.75">
      <c r="A14" s="43"/>
      <c r="B14" s="45">
        <v>2</v>
      </c>
      <c r="C14" s="294" t="s">
        <v>389</v>
      </c>
      <c r="D14" s="295"/>
      <c r="E14" s="2"/>
      <c r="F14" s="12"/>
      <c r="G14" s="12"/>
      <c r="H14" s="12"/>
      <c r="I14" s="9"/>
    </row>
    <row r="15" spans="1:12" ht="18.75">
      <c r="A15" s="43"/>
      <c r="B15" s="46">
        <v>3</v>
      </c>
      <c r="C15" s="291" t="s">
        <v>390</v>
      </c>
      <c r="D15" s="292"/>
    </row>
    <row r="16" spans="1:12" ht="18.75">
      <c r="B16" s="46">
        <v>4</v>
      </c>
      <c r="C16" s="296" t="s">
        <v>391</v>
      </c>
      <c r="D16" s="297"/>
    </row>
    <row r="17" spans="2:4" ht="18.75">
      <c r="B17" s="46">
        <v>5</v>
      </c>
      <c r="C17" s="296" t="s">
        <v>392</v>
      </c>
      <c r="D17" s="297"/>
    </row>
    <row r="18" spans="2:4">
      <c r="B18" s="42"/>
    </row>
  </sheetData>
  <mergeCells count="16">
    <mergeCell ref="K2:L2"/>
    <mergeCell ref="C15:D15"/>
    <mergeCell ref="C16:D16"/>
    <mergeCell ref="C17:D17"/>
    <mergeCell ref="F10:H10"/>
    <mergeCell ref="I10:I11"/>
    <mergeCell ref="B11:D11"/>
    <mergeCell ref="C12:D12"/>
    <mergeCell ref="C13:D13"/>
    <mergeCell ref="C14:D14"/>
    <mergeCell ref="B9:D9"/>
    <mergeCell ref="B2:I2"/>
    <mergeCell ref="C4:D4"/>
    <mergeCell ref="C5:D5"/>
    <mergeCell ref="C6:D6"/>
    <mergeCell ref="B7:C7"/>
  </mergeCell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4E89-B6CB-4E67-8E8F-6B7A8DE37D63}">
  <sheetPr>
    <tabColor rgb="FFC60606"/>
  </sheetPr>
  <dimension ref="A2:L37"/>
  <sheetViews>
    <sheetView topLeftCell="A19" zoomScale="90" zoomScaleNormal="90" workbookViewId="0">
      <selection activeCell="B38" sqref="B38"/>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1:12" ht="21.75" customHeight="1">
      <c r="B2" s="180" t="s">
        <v>66</v>
      </c>
      <c r="C2" s="181"/>
      <c r="D2" s="181"/>
      <c r="E2" s="181"/>
      <c r="F2" s="181"/>
      <c r="G2" s="181"/>
      <c r="H2" s="181"/>
      <c r="I2" s="181"/>
      <c r="K2" s="300" t="s">
        <v>2</v>
      </c>
      <c r="L2" s="301"/>
    </row>
    <row r="3" spans="1:12" ht="15" customHeight="1">
      <c r="K3" s="54" t="s">
        <v>67</v>
      </c>
      <c r="L3" s="57">
        <f>COUNT(B12:D100)</f>
        <v>15</v>
      </c>
    </row>
    <row r="4" spans="1:12" ht="15.75">
      <c r="B4" s="17" t="s">
        <v>68</v>
      </c>
      <c r="C4" s="358" t="s">
        <v>69</v>
      </c>
      <c r="D4" s="358"/>
      <c r="K4" s="54" t="s">
        <v>15</v>
      </c>
      <c r="L4" s="57">
        <f>COUNTIF(F12:F100,"X")</f>
        <v>0</v>
      </c>
    </row>
    <row r="5" spans="1:12" ht="15.75">
      <c r="B5" s="17" t="s">
        <v>70</v>
      </c>
      <c r="C5" s="358" t="s">
        <v>71</v>
      </c>
      <c r="D5" s="358"/>
      <c r="K5" s="54" t="s">
        <v>74</v>
      </c>
      <c r="L5" s="57">
        <f>_xlfn.PERCENTOF(L4,L3)</f>
        <v>0</v>
      </c>
    </row>
    <row r="6" spans="1:12" ht="15.75">
      <c r="B6" s="17" t="s">
        <v>72</v>
      </c>
      <c r="C6" s="358" t="s">
        <v>73</v>
      </c>
      <c r="D6" s="358"/>
    </row>
    <row r="7" spans="1:12" ht="15.75">
      <c r="B7" s="226" t="s">
        <v>75</v>
      </c>
      <c r="C7" s="226"/>
      <c r="D7" s="18" t="s">
        <v>76</v>
      </c>
    </row>
    <row r="8" spans="1:12" ht="15.75">
      <c r="B8" s="19"/>
      <c r="C8" s="19"/>
      <c r="D8" s="18"/>
    </row>
    <row r="9" spans="1:12" ht="18.75" customHeight="1">
      <c r="B9" s="266" t="s">
        <v>376</v>
      </c>
      <c r="C9" s="266"/>
      <c r="D9" s="266"/>
      <c r="E9" s="20"/>
      <c r="F9" s="20"/>
      <c r="G9" s="20"/>
      <c r="H9" s="20"/>
      <c r="I9" s="20"/>
    </row>
    <row r="10" spans="1:12">
      <c r="F10" s="183" t="s">
        <v>77</v>
      </c>
      <c r="G10" s="184"/>
      <c r="H10" s="185"/>
      <c r="I10" s="186" t="s">
        <v>255</v>
      </c>
    </row>
    <row r="11" spans="1:12" ht="21.75" customHeight="1">
      <c r="B11" s="303" t="s">
        <v>393</v>
      </c>
      <c r="C11" s="303"/>
      <c r="D11" s="303"/>
      <c r="E11" s="1"/>
      <c r="F11" s="14" t="s">
        <v>68</v>
      </c>
      <c r="G11" s="15" t="s">
        <v>70</v>
      </c>
      <c r="H11" s="15" t="s">
        <v>72</v>
      </c>
      <c r="I11" s="186"/>
      <c r="J11" s="3"/>
    </row>
    <row r="12" spans="1:12" ht="11.25" customHeight="1">
      <c r="C12" s="363"/>
      <c r="D12" s="363"/>
      <c r="F12" s="55"/>
      <c r="G12" s="55"/>
      <c r="H12" s="55"/>
      <c r="I12" s="55"/>
    </row>
    <row r="13" spans="1:12" ht="18.75">
      <c r="B13" s="68">
        <v>1</v>
      </c>
      <c r="C13" s="302" t="s">
        <v>394</v>
      </c>
      <c r="D13" s="302"/>
      <c r="E13" s="2"/>
      <c r="F13" s="79"/>
      <c r="G13" s="77"/>
      <c r="H13" s="84" t="s">
        <v>81</v>
      </c>
      <c r="I13" s="70"/>
    </row>
    <row r="14" spans="1:12" ht="18.75">
      <c r="A14" s="48"/>
      <c r="B14" s="69">
        <v>2</v>
      </c>
      <c r="C14" s="302" t="s">
        <v>395</v>
      </c>
      <c r="D14" s="302"/>
      <c r="E14" s="2"/>
      <c r="F14" s="80"/>
      <c r="G14" s="78"/>
      <c r="H14" s="84" t="s">
        <v>81</v>
      </c>
      <c r="I14" s="75"/>
    </row>
    <row r="15" spans="1:12" ht="18.75">
      <c r="B15" s="69">
        <v>3</v>
      </c>
      <c r="C15" s="302" t="s">
        <v>396</v>
      </c>
      <c r="D15" s="302"/>
      <c r="F15" s="54"/>
      <c r="G15" s="72"/>
      <c r="H15" s="84" t="s">
        <v>81</v>
      </c>
      <c r="I15" s="74"/>
    </row>
    <row r="16" spans="1:12" ht="20.25" customHeight="1">
      <c r="B16" s="67">
        <v>4</v>
      </c>
      <c r="C16" s="302" t="s">
        <v>397</v>
      </c>
      <c r="D16" s="302"/>
      <c r="F16" s="76"/>
      <c r="G16" s="71"/>
      <c r="H16" s="84" t="s">
        <v>81</v>
      </c>
      <c r="I16" s="36"/>
    </row>
    <row r="17" spans="2:9" ht="18.75">
      <c r="B17" s="67">
        <v>5</v>
      </c>
      <c r="C17" s="298" t="s">
        <v>398</v>
      </c>
      <c r="D17" s="298"/>
      <c r="F17" s="54"/>
      <c r="G17" s="54"/>
      <c r="H17" s="84" t="s">
        <v>81</v>
      </c>
      <c r="I17" s="54"/>
    </row>
    <row r="18" spans="2:9" ht="18.75">
      <c r="B18" s="67">
        <v>6</v>
      </c>
      <c r="C18" s="298" t="s">
        <v>399</v>
      </c>
      <c r="D18" s="298"/>
      <c r="F18" s="54"/>
      <c r="G18" s="54"/>
      <c r="H18" s="84" t="s">
        <v>81</v>
      </c>
      <c r="I18" s="54"/>
    </row>
    <row r="19" spans="2:9" ht="18.75">
      <c r="B19" s="67">
        <v>7</v>
      </c>
      <c r="C19" s="298" t="s">
        <v>400</v>
      </c>
      <c r="D19" s="298"/>
      <c r="F19" s="54"/>
      <c r="G19" s="54"/>
      <c r="H19" s="84" t="s">
        <v>81</v>
      </c>
      <c r="I19" s="54"/>
    </row>
    <row r="20" spans="2:9" ht="18.75">
      <c r="B20" s="67">
        <v>8</v>
      </c>
      <c r="C20" s="298" t="s">
        <v>401</v>
      </c>
      <c r="D20" s="298"/>
      <c r="F20" s="54"/>
      <c r="G20" s="54"/>
      <c r="H20" s="84" t="s">
        <v>81</v>
      </c>
      <c r="I20" s="54"/>
    </row>
    <row r="21" spans="2:9" ht="18.75">
      <c r="B21" s="67">
        <v>9</v>
      </c>
      <c r="C21" s="298" t="s">
        <v>402</v>
      </c>
      <c r="D21" s="298"/>
      <c r="F21" s="54"/>
      <c r="G21" s="54"/>
      <c r="H21" s="84" t="s">
        <v>81</v>
      </c>
      <c r="I21" s="54"/>
    </row>
    <row r="22" spans="2:9" ht="18.75">
      <c r="B22" s="67">
        <v>10</v>
      </c>
      <c r="C22" s="298" t="s">
        <v>403</v>
      </c>
      <c r="D22" s="298"/>
      <c r="F22" s="54"/>
      <c r="G22" s="54"/>
      <c r="H22" s="84" t="s">
        <v>81</v>
      </c>
      <c r="I22" s="54"/>
    </row>
    <row r="23" spans="2:9" ht="18.75">
      <c r="B23" s="67">
        <v>11</v>
      </c>
      <c r="C23" s="298" t="s">
        <v>404</v>
      </c>
      <c r="D23" s="298"/>
      <c r="F23" s="54"/>
      <c r="G23" s="54"/>
      <c r="H23" s="84" t="s">
        <v>81</v>
      </c>
      <c r="I23" s="54"/>
    </row>
    <row r="24" spans="2:9" ht="21" customHeight="1">
      <c r="B24" s="67">
        <v>12</v>
      </c>
      <c r="C24" s="298" t="s">
        <v>405</v>
      </c>
      <c r="D24" s="298"/>
      <c r="F24" s="54"/>
      <c r="G24" s="54"/>
      <c r="H24" s="84" t="s">
        <v>81</v>
      </c>
      <c r="I24" s="54"/>
    </row>
    <row r="25" spans="2:9" ht="18.75">
      <c r="B25" s="67">
        <v>13</v>
      </c>
      <c r="C25" s="299" t="s">
        <v>406</v>
      </c>
      <c r="D25" s="299"/>
      <c r="F25" s="54"/>
      <c r="G25" s="54"/>
      <c r="H25" s="84" t="s">
        <v>81</v>
      </c>
      <c r="I25" s="54"/>
    </row>
    <row r="26" spans="2:9" ht="18.75">
      <c r="B26" s="67">
        <v>14</v>
      </c>
      <c r="C26" s="298" t="s">
        <v>407</v>
      </c>
      <c r="D26" s="298"/>
      <c r="F26" s="54"/>
      <c r="G26" s="54"/>
      <c r="H26" s="84" t="s">
        <v>81</v>
      </c>
      <c r="I26" s="54"/>
    </row>
    <row r="27" spans="2:9" ht="18.75">
      <c r="B27" s="67">
        <v>15</v>
      </c>
      <c r="C27" s="299" t="s">
        <v>408</v>
      </c>
      <c r="D27" s="299"/>
      <c r="F27" s="54"/>
      <c r="G27" s="54"/>
      <c r="H27" s="84" t="s">
        <v>81</v>
      </c>
      <c r="I27" s="54"/>
    </row>
    <row r="28" spans="2:9" ht="18.75">
      <c r="B28" s="67"/>
      <c r="C28" s="298"/>
      <c r="D28" s="298"/>
      <c r="F28" s="54"/>
      <c r="G28" s="54"/>
      <c r="H28" s="84"/>
      <c r="I28" s="54"/>
    </row>
    <row r="29" spans="2:9" ht="18.75">
      <c r="B29" s="67"/>
      <c r="C29" s="299"/>
      <c r="D29" s="299"/>
      <c r="F29" s="54"/>
      <c r="G29" s="54"/>
      <c r="H29" s="84"/>
      <c r="I29" s="54"/>
    </row>
    <row r="30" spans="2:9" ht="18.75">
      <c r="B30" s="67"/>
      <c r="C30" s="298"/>
      <c r="D30" s="298"/>
      <c r="F30" s="54"/>
      <c r="G30" s="54"/>
      <c r="H30" s="84"/>
      <c r="I30" s="54"/>
    </row>
    <row r="31" spans="2:9" ht="18.75">
      <c r="B31" s="67"/>
      <c r="C31" s="299"/>
      <c r="D31" s="299"/>
      <c r="F31" s="54"/>
      <c r="G31" s="54"/>
      <c r="H31" s="84"/>
      <c r="I31" s="54"/>
    </row>
    <row r="32" spans="2:9" ht="18.75">
      <c r="B32" s="67"/>
      <c r="C32" s="298"/>
      <c r="D32" s="298"/>
      <c r="F32" s="54"/>
      <c r="G32" s="54"/>
      <c r="H32" s="84"/>
      <c r="I32" s="54"/>
    </row>
    <row r="33" spans="2:9" ht="18.75">
      <c r="B33" s="67"/>
      <c r="C33" s="299"/>
      <c r="D33" s="299"/>
      <c r="F33" s="54"/>
      <c r="G33" s="54"/>
      <c r="H33" s="84"/>
      <c r="I33" s="54"/>
    </row>
    <row r="34" spans="2:9" ht="18.75">
      <c r="B34" s="67"/>
      <c r="C34" s="298"/>
      <c r="D34" s="298"/>
      <c r="F34" s="54"/>
      <c r="G34" s="54"/>
      <c r="H34" s="84"/>
      <c r="I34" s="54"/>
    </row>
    <row r="35" spans="2:9" ht="18.75">
      <c r="B35" s="67"/>
      <c r="C35" s="299"/>
      <c r="D35" s="299"/>
      <c r="F35" s="54"/>
      <c r="G35" s="54"/>
      <c r="H35" s="84"/>
      <c r="I35" s="54"/>
    </row>
    <row r="36" spans="2:9" ht="18.75">
      <c r="B36" s="67"/>
      <c r="C36" s="298"/>
      <c r="D36" s="298"/>
      <c r="F36" s="54"/>
      <c r="G36" s="54"/>
      <c r="H36" s="84"/>
      <c r="I36" s="54"/>
    </row>
    <row r="37" spans="2:9" ht="18.75">
      <c r="B37" s="67"/>
      <c r="C37" s="299"/>
      <c r="D37" s="299"/>
      <c r="F37" s="54"/>
      <c r="G37" s="54"/>
      <c r="H37" s="84"/>
      <c r="I37" s="54"/>
    </row>
  </sheetData>
  <mergeCells count="36">
    <mergeCell ref="C15:D15"/>
    <mergeCell ref="B9:D9"/>
    <mergeCell ref="F10:H10"/>
    <mergeCell ref="I10:I11"/>
    <mergeCell ref="B11:D11"/>
    <mergeCell ref="C12:D12"/>
    <mergeCell ref="C13:D13"/>
    <mergeCell ref="C14:D14"/>
    <mergeCell ref="K2:L2"/>
    <mergeCell ref="C22:D22"/>
    <mergeCell ref="C23:D23"/>
    <mergeCell ref="C24:D24"/>
    <mergeCell ref="C25:D25"/>
    <mergeCell ref="C17:D17"/>
    <mergeCell ref="C18:D18"/>
    <mergeCell ref="C19:D19"/>
    <mergeCell ref="C20:D20"/>
    <mergeCell ref="C21:D21"/>
    <mergeCell ref="C16:D16"/>
    <mergeCell ref="B2:I2"/>
    <mergeCell ref="C4:D4"/>
    <mergeCell ref="C5:D5"/>
    <mergeCell ref="C6:D6"/>
    <mergeCell ref="B7:C7"/>
    <mergeCell ref="C26:D26"/>
    <mergeCell ref="C27:D27"/>
    <mergeCell ref="C28:D28"/>
    <mergeCell ref="C29:D29"/>
    <mergeCell ref="C30:D30"/>
    <mergeCell ref="C36:D36"/>
    <mergeCell ref="C37:D37"/>
    <mergeCell ref="C31:D31"/>
    <mergeCell ref="C32:D32"/>
    <mergeCell ref="C33:D33"/>
    <mergeCell ref="C34:D34"/>
    <mergeCell ref="C35:D35"/>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A4E1-D92C-45F9-880C-D4AD59CA9F97}">
  <sheetPr>
    <tabColor rgb="FFC60606"/>
  </sheetPr>
  <dimension ref="A2:L31"/>
  <sheetViews>
    <sheetView topLeftCell="A6" zoomScale="90" zoomScaleNormal="90" workbookViewId="0">
      <selection activeCell="B34" sqref="B34"/>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1:12" ht="21.75" customHeight="1">
      <c r="B2" s="180" t="s">
        <v>66</v>
      </c>
      <c r="C2" s="181"/>
      <c r="D2" s="181"/>
      <c r="E2" s="181"/>
      <c r="F2" s="181"/>
      <c r="G2" s="181"/>
      <c r="H2" s="181"/>
      <c r="I2" s="181"/>
      <c r="K2" s="300" t="s">
        <v>2</v>
      </c>
      <c r="L2" s="301"/>
    </row>
    <row r="3" spans="1:12" ht="15" customHeight="1">
      <c r="K3" s="54" t="s">
        <v>67</v>
      </c>
      <c r="L3" s="57">
        <f>COUNT(B12:D100)</f>
        <v>11</v>
      </c>
    </row>
    <row r="4" spans="1:12" ht="15.75">
      <c r="B4" s="17" t="s">
        <v>68</v>
      </c>
      <c r="C4" s="358" t="s">
        <v>69</v>
      </c>
      <c r="D4" s="358"/>
      <c r="K4" s="54" t="s">
        <v>15</v>
      </c>
      <c r="L4" s="57">
        <f>COUNTIF(F12:F100,"X")</f>
        <v>0</v>
      </c>
    </row>
    <row r="5" spans="1:12" ht="15.75">
      <c r="B5" s="17" t="s">
        <v>70</v>
      </c>
      <c r="C5" s="358" t="s">
        <v>71</v>
      </c>
      <c r="D5" s="358"/>
      <c r="K5" s="54" t="s">
        <v>74</v>
      </c>
      <c r="L5" s="57">
        <f>_xlfn.PERCENTOF(L4,L3)</f>
        <v>0</v>
      </c>
    </row>
    <row r="6" spans="1:12" ht="15.75">
      <c r="B6" s="17" t="s">
        <v>72</v>
      </c>
      <c r="C6" s="358" t="s">
        <v>73</v>
      </c>
      <c r="D6" s="358"/>
    </row>
    <row r="7" spans="1:12" ht="15.75">
      <c r="B7" s="226" t="s">
        <v>75</v>
      </c>
      <c r="C7" s="226"/>
      <c r="D7" s="18" t="s">
        <v>76</v>
      </c>
    </row>
    <row r="8" spans="1:12" ht="15.75">
      <c r="B8" s="19"/>
      <c r="C8" s="19"/>
      <c r="D8" s="18"/>
    </row>
    <row r="9" spans="1:12" ht="18.75" customHeight="1">
      <c r="B9" s="266" t="s">
        <v>376</v>
      </c>
      <c r="C9" s="266"/>
      <c r="D9" s="266"/>
      <c r="E9" s="20"/>
      <c r="F9" s="20"/>
      <c r="G9" s="20"/>
      <c r="H9" s="20"/>
      <c r="I9" s="20"/>
    </row>
    <row r="10" spans="1:12">
      <c r="F10" s="183" t="s">
        <v>77</v>
      </c>
      <c r="G10" s="184"/>
      <c r="H10" s="185"/>
      <c r="I10" s="186" t="s">
        <v>255</v>
      </c>
    </row>
    <row r="11" spans="1:12" ht="21.75" customHeight="1">
      <c r="B11" s="303" t="s">
        <v>393</v>
      </c>
      <c r="C11" s="303"/>
      <c r="D11" s="303"/>
      <c r="E11" s="1"/>
      <c r="F11" s="14" t="s">
        <v>68</v>
      </c>
      <c r="G11" s="15" t="s">
        <v>70</v>
      </c>
      <c r="H11" s="15" t="s">
        <v>72</v>
      </c>
      <c r="I11" s="186"/>
      <c r="J11" s="3"/>
    </row>
    <row r="12" spans="1:12" ht="11.25" customHeight="1">
      <c r="C12" s="363"/>
      <c r="D12" s="363"/>
      <c r="F12" s="55"/>
      <c r="G12" s="55"/>
      <c r="H12" s="55"/>
      <c r="I12" s="55"/>
    </row>
    <row r="13" spans="1:12" ht="18.75">
      <c r="B13" s="68">
        <v>1</v>
      </c>
      <c r="C13" s="302" t="s">
        <v>409</v>
      </c>
      <c r="D13" s="302"/>
      <c r="E13" s="2"/>
      <c r="F13" s="54"/>
      <c r="G13" s="54"/>
      <c r="H13" s="57" t="s">
        <v>81</v>
      </c>
      <c r="I13" s="54"/>
    </row>
    <row r="14" spans="1:12" ht="18.75">
      <c r="A14" s="48"/>
      <c r="B14" s="69">
        <v>2</v>
      </c>
      <c r="C14" s="302" t="s">
        <v>410</v>
      </c>
      <c r="D14" s="302"/>
      <c r="E14" s="2"/>
      <c r="F14" s="54"/>
      <c r="G14" s="54"/>
      <c r="H14" s="57" t="s">
        <v>81</v>
      </c>
      <c r="I14" s="54"/>
    </row>
    <row r="15" spans="1:12" ht="18.75">
      <c r="B15" s="69">
        <v>3</v>
      </c>
      <c r="C15" s="302" t="s">
        <v>411</v>
      </c>
      <c r="D15" s="302"/>
      <c r="F15" s="54"/>
      <c r="G15" s="54"/>
      <c r="H15" s="57" t="s">
        <v>81</v>
      </c>
      <c r="I15" s="54"/>
    </row>
    <row r="16" spans="1:12" ht="20.25" customHeight="1">
      <c r="B16" s="67">
        <v>4</v>
      </c>
      <c r="C16" s="302" t="s">
        <v>412</v>
      </c>
      <c r="D16" s="302"/>
      <c r="F16" s="74"/>
      <c r="G16" s="74"/>
      <c r="H16" s="57" t="s">
        <v>81</v>
      </c>
      <c r="I16" s="74"/>
    </row>
    <row r="17" spans="2:9" ht="18.75">
      <c r="B17" s="67">
        <v>5</v>
      </c>
      <c r="C17" s="298" t="s">
        <v>413</v>
      </c>
      <c r="D17" s="298"/>
      <c r="F17" s="54"/>
      <c r="G17" s="54"/>
      <c r="H17" s="57" t="s">
        <v>81</v>
      </c>
      <c r="I17" s="54"/>
    </row>
    <row r="18" spans="2:9" ht="18.75">
      <c r="B18" s="67">
        <v>6</v>
      </c>
      <c r="C18" s="298" t="s">
        <v>414</v>
      </c>
      <c r="D18" s="298"/>
      <c r="F18" s="54"/>
      <c r="G18" s="54"/>
      <c r="H18" s="57" t="s">
        <v>81</v>
      </c>
      <c r="I18" s="54"/>
    </row>
    <row r="19" spans="2:9" ht="18.75">
      <c r="B19" s="67">
        <v>7</v>
      </c>
      <c r="C19" s="298" t="s">
        <v>415</v>
      </c>
      <c r="D19" s="298"/>
      <c r="F19" s="54"/>
      <c r="G19" s="54"/>
      <c r="H19" s="57" t="s">
        <v>81</v>
      </c>
      <c r="I19" s="54"/>
    </row>
    <row r="20" spans="2:9" ht="18.75">
      <c r="B20" s="67">
        <v>8</v>
      </c>
      <c r="C20" s="298" t="s">
        <v>416</v>
      </c>
      <c r="D20" s="298"/>
      <c r="F20" s="54"/>
      <c r="G20" s="54"/>
      <c r="H20" s="57" t="s">
        <v>81</v>
      </c>
      <c r="I20" s="54"/>
    </row>
    <row r="21" spans="2:9" ht="18.75">
      <c r="B21" s="67">
        <v>9</v>
      </c>
      <c r="C21" s="298" t="s">
        <v>417</v>
      </c>
      <c r="D21" s="298"/>
      <c r="F21" s="54"/>
      <c r="G21" s="54"/>
      <c r="H21" s="57" t="s">
        <v>81</v>
      </c>
      <c r="I21" s="54"/>
    </row>
    <row r="22" spans="2:9" ht="18.75">
      <c r="B22" s="67">
        <v>10</v>
      </c>
      <c r="C22" s="298" t="s">
        <v>418</v>
      </c>
      <c r="D22" s="298"/>
      <c r="F22" s="54"/>
      <c r="G22" s="54"/>
      <c r="H22" s="57" t="s">
        <v>81</v>
      </c>
      <c r="I22" s="54"/>
    </row>
    <row r="23" spans="2:9" ht="18.75">
      <c r="B23" s="67">
        <v>11</v>
      </c>
      <c r="C23" s="298" t="s">
        <v>419</v>
      </c>
      <c r="D23" s="298"/>
      <c r="F23" s="54"/>
      <c r="G23" s="54"/>
      <c r="H23" s="57" t="s">
        <v>81</v>
      </c>
      <c r="I23" s="54"/>
    </row>
    <row r="24" spans="2:9" ht="18.75">
      <c r="B24" s="67"/>
      <c r="C24" s="298"/>
      <c r="D24" s="298"/>
      <c r="F24" s="54"/>
      <c r="G24" s="54"/>
      <c r="H24" s="57" t="s">
        <v>81</v>
      </c>
      <c r="I24" s="54"/>
    </row>
    <row r="25" spans="2:9" ht="18.75">
      <c r="B25" s="67"/>
      <c r="C25" s="298"/>
      <c r="D25" s="298"/>
      <c r="F25" s="54"/>
      <c r="G25" s="54"/>
      <c r="H25" s="57"/>
      <c r="I25" s="54"/>
    </row>
    <row r="26" spans="2:9" ht="18.75">
      <c r="B26" s="67"/>
      <c r="C26" s="298"/>
      <c r="D26" s="298"/>
      <c r="F26" s="54"/>
      <c r="G26" s="54"/>
      <c r="H26" s="57"/>
      <c r="I26" s="54"/>
    </row>
    <row r="27" spans="2:9" ht="18.75">
      <c r="B27" s="67"/>
      <c r="C27" s="298"/>
      <c r="D27" s="298"/>
      <c r="F27" s="54"/>
      <c r="G27" s="54"/>
      <c r="H27" s="57"/>
      <c r="I27" s="54"/>
    </row>
    <row r="28" spans="2:9" ht="18.75">
      <c r="B28" s="67"/>
      <c r="C28" s="298"/>
      <c r="D28" s="298"/>
      <c r="F28" s="54"/>
      <c r="G28" s="54"/>
      <c r="H28" s="57"/>
      <c r="I28" s="54"/>
    </row>
    <row r="29" spans="2:9" ht="18.75">
      <c r="B29" s="67"/>
      <c r="C29" s="298"/>
      <c r="D29" s="298"/>
      <c r="F29" s="54"/>
      <c r="G29" s="54"/>
      <c r="H29" s="57"/>
      <c r="I29" s="54"/>
    </row>
    <row r="30" spans="2:9" ht="18.75">
      <c r="B30" s="67"/>
      <c r="C30" s="298"/>
      <c r="D30" s="298"/>
      <c r="F30" s="54"/>
      <c r="G30" s="54"/>
      <c r="H30" s="57"/>
      <c r="I30" s="54"/>
    </row>
    <row r="31" spans="2:9" ht="18.75">
      <c r="B31" s="67"/>
      <c r="C31" s="298"/>
      <c r="D31" s="298"/>
      <c r="F31" s="54"/>
      <c r="G31" s="54"/>
      <c r="H31" s="57"/>
      <c r="I31" s="54"/>
    </row>
  </sheetData>
  <mergeCells count="30">
    <mergeCell ref="C28:D28"/>
    <mergeCell ref="C29:D29"/>
    <mergeCell ref="C30:D30"/>
    <mergeCell ref="C31:D31"/>
    <mergeCell ref="C23:D23"/>
    <mergeCell ref="C24:D24"/>
    <mergeCell ref="C25:D25"/>
    <mergeCell ref="C26:D26"/>
    <mergeCell ref="C27:D27"/>
    <mergeCell ref="F10:H10"/>
    <mergeCell ref="I10:I11"/>
    <mergeCell ref="B11:D11"/>
    <mergeCell ref="C12:D12"/>
    <mergeCell ref="C13:D13"/>
    <mergeCell ref="K2:L2"/>
    <mergeCell ref="C21:D21"/>
    <mergeCell ref="C22:D22"/>
    <mergeCell ref="C15:D15"/>
    <mergeCell ref="C16:D16"/>
    <mergeCell ref="C17:D17"/>
    <mergeCell ref="C18:D18"/>
    <mergeCell ref="C19:D19"/>
    <mergeCell ref="C20:D20"/>
    <mergeCell ref="C14:D14"/>
    <mergeCell ref="B2:I2"/>
    <mergeCell ref="C4:D4"/>
    <mergeCell ref="C5:D5"/>
    <mergeCell ref="C6:D6"/>
    <mergeCell ref="B7:C7"/>
    <mergeCell ref="B9:D9"/>
  </mergeCell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2022-6587-496F-9271-2432D72487BC}">
  <dimension ref="B2:L21"/>
  <sheetViews>
    <sheetView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180" t="s">
        <v>66</v>
      </c>
      <c r="C2" s="181"/>
      <c r="D2" s="181"/>
      <c r="E2" s="181"/>
      <c r="F2" s="181"/>
      <c r="G2" s="181"/>
      <c r="H2" s="181"/>
      <c r="I2" s="181"/>
      <c r="K2" s="304" t="s">
        <v>2</v>
      </c>
      <c r="L2" s="305"/>
    </row>
    <row r="3" spans="2:12" ht="15" customHeight="1">
      <c r="K3" s="54" t="s">
        <v>67</v>
      </c>
      <c r="L3" s="57">
        <f>COUNT(B12:D100)</f>
        <v>10</v>
      </c>
    </row>
    <row r="4" spans="2:12" ht="15.75">
      <c r="B4" s="17" t="s">
        <v>68</v>
      </c>
      <c r="C4" s="358" t="s">
        <v>69</v>
      </c>
      <c r="D4" s="358"/>
      <c r="E4" s="18"/>
      <c r="K4" s="54" t="s">
        <v>15</v>
      </c>
      <c r="L4" s="57">
        <f>COUNTIF(F12:F100,"X")</f>
        <v>4</v>
      </c>
    </row>
    <row r="5" spans="2:12" ht="15.75">
      <c r="B5" s="17" t="s">
        <v>70</v>
      </c>
      <c r="C5" s="358" t="s">
        <v>71</v>
      </c>
      <c r="D5" s="358"/>
      <c r="E5" s="18"/>
      <c r="K5" s="54" t="s">
        <v>74</v>
      </c>
      <c r="L5" s="57">
        <f>_xlfn.PERCENTOF(L4,L3)</f>
        <v>0.4</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04" t="s">
        <v>420</v>
      </c>
      <c r="C10" s="305"/>
      <c r="D10" s="305"/>
      <c r="E10" s="16"/>
      <c r="F10" s="14" t="s">
        <v>68</v>
      </c>
      <c r="G10" s="15" t="s">
        <v>70</v>
      </c>
      <c r="H10" s="15" t="s">
        <v>72</v>
      </c>
      <c r="I10" s="186"/>
      <c r="J10" s="3"/>
    </row>
    <row r="11" spans="2:12" ht="11.25" customHeight="1">
      <c r="C11" s="364"/>
      <c r="D11" s="364"/>
    </row>
    <row r="12" spans="2:12" ht="18.75">
      <c r="B12" s="92">
        <v>1</v>
      </c>
      <c r="C12" s="306" t="s">
        <v>421</v>
      </c>
      <c r="D12" s="307"/>
      <c r="E12" s="2"/>
      <c r="F12" s="64" t="s">
        <v>81</v>
      </c>
      <c r="G12" s="12"/>
      <c r="H12" s="12"/>
      <c r="I12" s="9"/>
    </row>
    <row r="13" spans="2:12" ht="18.75">
      <c r="B13" s="93">
        <v>2</v>
      </c>
      <c r="C13" s="313" t="s">
        <v>422</v>
      </c>
      <c r="D13" s="314"/>
      <c r="E13" s="2"/>
      <c r="F13" s="64" t="s">
        <v>81</v>
      </c>
      <c r="G13" s="12"/>
      <c r="H13" s="12"/>
      <c r="I13" s="9"/>
    </row>
    <row r="14" spans="2:12" ht="18.75">
      <c r="B14" s="92">
        <v>3</v>
      </c>
      <c r="C14" s="306" t="s">
        <v>423</v>
      </c>
      <c r="D14" s="307"/>
      <c r="E14" s="2"/>
      <c r="F14" s="64" t="s">
        <v>81</v>
      </c>
      <c r="G14" s="12"/>
      <c r="H14" s="12"/>
      <c r="I14" s="9"/>
    </row>
    <row r="15" spans="2:12" ht="18.75">
      <c r="B15" s="92">
        <v>4</v>
      </c>
      <c r="C15" s="306" t="s">
        <v>424</v>
      </c>
      <c r="D15" s="307"/>
      <c r="E15" s="2"/>
      <c r="F15" s="64"/>
      <c r="G15" s="12"/>
      <c r="H15" s="12"/>
      <c r="I15" s="9"/>
    </row>
    <row r="16" spans="2:12" ht="18.75">
      <c r="B16" s="92">
        <v>5</v>
      </c>
      <c r="C16" s="306" t="s">
        <v>425</v>
      </c>
      <c r="D16" s="307"/>
      <c r="E16" s="2"/>
      <c r="F16" s="64" t="s">
        <v>81</v>
      </c>
      <c r="G16" s="12"/>
      <c r="H16" s="12"/>
      <c r="I16" s="9"/>
    </row>
    <row r="17" spans="2:9" ht="18.75">
      <c r="B17" s="94">
        <v>6</v>
      </c>
      <c r="C17" s="310" t="s">
        <v>426</v>
      </c>
      <c r="D17" s="311"/>
      <c r="E17" s="2"/>
      <c r="F17" s="12"/>
      <c r="G17" s="12"/>
      <c r="H17" s="12"/>
      <c r="I17" s="9"/>
    </row>
    <row r="18" spans="2:9" ht="18.75">
      <c r="B18" s="95">
        <v>7</v>
      </c>
      <c r="C18" s="312" t="s">
        <v>427</v>
      </c>
      <c r="D18" s="307"/>
      <c r="F18" s="12"/>
      <c r="G18" s="12"/>
      <c r="H18" s="12"/>
      <c r="I18" s="9"/>
    </row>
    <row r="19" spans="2:9" ht="18.75">
      <c r="B19" s="96">
        <v>8</v>
      </c>
      <c r="C19" s="306" t="s">
        <v>428</v>
      </c>
      <c r="D19" s="307"/>
      <c r="F19" s="12"/>
      <c r="G19" s="12"/>
      <c r="H19" s="12"/>
      <c r="I19" s="10"/>
    </row>
    <row r="20" spans="2:9" ht="18.75">
      <c r="B20" s="92">
        <v>9</v>
      </c>
      <c r="C20" s="306" t="s">
        <v>429</v>
      </c>
      <c r="D20" s="307"/>
      <c r="F20" s="11"/>
      <c r="G20" s="11"/>
      <c r="H20" s="82"/>
      <c r="I20" s="73"/>
    </row>
    <row r="21" spans="2:9" ht="18.75">
      <c r="B21" s="92">
        <v>10</v>
      </c>
      <c r="C21" s="308" t="s">
        <v>430</v>
      </c>
      <c r="D21" s="309"/>
      <c r="F21" s="54"/>
      <c r="G21" s="54"/>
      <c r="H21" s="75"/>
      <c r="I21" s="75"/>
    </row>
  </sheetData>
  <mergeCells count="20">
    <mergeCell ref="I9:I10"/>
    <mergeCell ref="B10:D10"/>
    <mergeCell ref="B2:I2"/>
    <mergeCell ref="C13:D13"/>
    <mergeCell ref="C14:D14"/>
    <mergeCell ref="C15:D15"/>
    <mergeCell ref="C21:D21"/>
    <mergeCell ref="F9:H9"/>
    <mergeCell ref="C16:D16"/>
    <mergeCell ref="C17:D17"/>
    <mergeCell ref="C18:D18"/>
    <mergeCell ref="C19:D19"/>
    <mergeCell ref="C20:D20"/>
    <mergeCell ref="C11:D11"/>
    <mergeCell ref="C12:D12"/>
    <mergeCell ref="C4:D4"/>
    <mergeCell ref="C5:D5"/>
    <mergeCell ref="C6:D6"/>
    <mergeCell ref="B7:C7"/>
    <mergeCell ref="K2:L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08919-E756-4C94-9E86-D594C8F1CB00}">
  <dimension ref="B2:L17"/>
  <sheetViews>
    <sheetView workbookViewId="0">
      <selection activeCell="I24" sqref="I24"/>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5703125" bestFit="1" customWidth="1"/>
  </cols>
  <sheetData>
    <row r="2" spans="2:12" ht="21.75" customHeight="1">
      <c r="B2" s="253" t="s">
        <v>66</v>
      </c>
      <c r="C2" s="254"/>
      <c r="D2" s="254"/>
      <c r="E2" s="254"/>
      <c r="F2" s="254"/>
      <c r="G2" s="254"/>
      <c r="H2" s="254"/>
      <c r="I2" s="254"/>
      <c r="K2" s="315" t="s">
        <v>2</v>
      </c>
      <c r="L2" s="315"/>
    </row>
    <row r="3" spans="2:12" ht="15" customHeight="1">
      <c r="K3" s="54" t="s">
        <v>67</v>
      </c>
      <c r="L3" s="57">
        <f>COUNT(B12:D100)</f>
        <v>5</v>
      </c>
    </row>
    <row r="4" spans="2:12" ht="15.75">
      <c r="B4" s="17" t="s">
        <v>68</v>
      </c>
      <c r="C4" s="358" t="s">
        <v>69</v>
      </c>
      <c r="D4" s="358"/>
      <c r="E4" s="18"/>
      <c r="K4" s="54" t="s">
        <v>15</v>
      </c>
      <c r="L4" s="57">
        <f>COUNTIF(F12:F100,"X")</f>
        <v>1</v>
      </c>
    </row>
    <row r="5" spans="2:12" ht="15.75">
      <c r="B5" s="17" t="s">
        <v>70</v>
      </c>
      <c r="C5" s="358" t="s">
        <v>71</v>
      </c>
      <c r="D5" s="358"/>
      <c r="E5" s="18"/>
      <c r="K5" s="54" t="s">
        <v>74</v>
      </c>
      <c r="L5" s="57">
        <f>_xlfn.PERCENTOF(L4,L3)</f>
        <v>0.2</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04" t="s">
        <v>431</v>
      </c>
      <c r="C10" s="305"/>
      <c r="D10" s="305"/>
      <c r="E10" s="16"/>
      <c r="F10" s="14" t="s">
        <v>68</v>
      </c>
      <c r="G10" s="15" t="s">
        <v>70</v>
      </c>
      <c r="H10" s="15" t="s">
        <v>72</v>
      </c>
      <c r="I10" s="186"/>
      <c r="J10" s="3"/>
    </row>
    <row r="11" spans="2:12" ht="11.25" customHeight="1">
      <c r="C11" s="364"/>
      <c r="D11" s="364"/>
    </row>
    <row r="12" spans="2:12" ht="18.75">
      <c r="B12" s="92">
        <v>1</v>
      </c>
      <c r="C12" s="306" t="s">
        <v>432</v>
      </c>
      <c r="D12" s="307"/>
      <c r="E12" s="2"/>
      <c r="F12" s="12"/>
      <c r="G12" s="12"/>
      <c r="H12" s="12"/>
      <c r="I12" s="9"/>
    </row>
    <row r="13" spans="2:12" ht="18.75">
      <c r="B13" s="93">
        <v>2</v>
      </c>
      <c r="C13" s="313" t="s">
        <v>433</v>
      </c>
      <c r="D13" s="314"/>
      <c r="E13" s="2"/>
      <c r="F13" s="12"/>
      <c r="G13" s="12"/>
      <c r="H13" s="12"/>
      <c r="I13" s="9"/>
    </row>
    <row r="14" spans="2:12" ht="18.75">
      <c r="B14" s="92">
        <v>3</v>
      </c>
      <c r="C14" s="306" t="s">
        <v>290</v>
      </c>
      <c r="D14" s="307"/>
      <c r="E14" s="2"/>
      <c r="F14" s="12"/>
      <c r="G14" s="12"/>
      <c r="H14" s="12"/>
      <c r="I14" s="9"/>
    </row>
    <row r="15" spans="2:12" ht="18.75">
      <c r="B15" s="92">
        <v>4</v>
      </c>
      <c r="C15" s="316" t="s">
        <v>434</v>
      </c>
      <c r="D15" s="317"/>
      <c r="E15" s="2"/>
      <c r="F15" s="64" t="s">
        <v>81</v>
      </c>
      <c r="G15" s="12"/>
      <c r="H15" s="12"/>
      <c r="I15" s="9"/>
    </row>
    <row r="16" spans="2:12" ht="18.75">
      <c r="B16" s="92">
        <v>5</v>
      </c>
      <c r="C16" s="306" t="s">
        <v>435</v>
      </c>
      <c r="D16" s="307"/>
      <c r="E16" s="2"/>
      <c r="F16" s="12"/>
      <c r="G16" s="12"/>
      <c r="H16" s="12"/>
      <c r="I16" s="9"/>
    </row>
    <row r="17" spans="3:4">
      <c r="C17" s="81"/>
      <c r="D17" s="83"/>
    </row>
  </sheetData>
  <mergeCells count="15">
    <mergeCell ref="K2:L2"/>
    <mergeCell ref="C16:D16"/>
    <mergeCell ref="B2:I2"/>
    <mergeCell ref="C4:D4"/>
    <mergeCell ref="C5:D5"/>
    <mergeCell ref="C6:D6"/>
    <mergeCell ref="B7:C7"/>
    <mergeCell ref="F9:H9"/>
    <mergeCell ref="I9:I10"/>
    <mergeCell ref="B10:D10"/>
    <mergeCell ref="C11:D11"/>
    <mergeCell ref="C12:D12"/>
    <mergeCell ref="C13:D13"/>
    <mergeCell ref="C14:D14"/>
    <mergeCell ref="C15:D1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E5302-8C15-4B8A-9FA8-5A95AFB2D0D6}">
  <sheetPr>
    <tabColor rgb="FF993366"/>
  </sheetPr>
  <dimension ref="B2:L21"/>
  <sheetViews>
    <sheetView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18" t="s">
        <v>2</v>
      </c>
      <c r="L2" s="319"/>
    </row>
    <row r="3" spans="2:12" ht="15" customHeight="1">
      <c r="K3" s="54" t="s">
        <v>67</v>
      </c>
      <c r="L3" s="57">
        <f>COUNT(B12:D100)</f>
        <v>10</v>
      </c>
    </row>
    <row r="4" spans="2:12" ht="15.75">
      <c r="B4" s="17" t="s">
        <v>68</v>
      </c>
      <c r="C4" s="358" t="s">
        <v>69</v>
      </c>
      <c r="D4" s="358"/>
      <c r="E4" s="18"/>
      <c r="K4" s="54" t="s">
        <v>15</v>
      </c>
      <c r="L4" s="57">
        <f>COUNTIF(F12:F100,"X")</f>
        <v>5</v>
      </c>
    </row>
    <row r="5" spans="2:12" ht="15.75">
      <c r="B5" s="17" t="s">
        <v>70</v>
      </c>
      <c r="C5" s="358" t="s">
        <v>71</v>
      </c>
      <c r="D5" s="358"/>
      <c r="E5" s="18"/>
      <c r="K5" s="54" t="s">
        <v>74</v>
      </c>
      <c r="L5" s="57">
        <f>_xlfn.PERCENTOF(L4,L3)</f>
        <v>0.5</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20" t="s">
        <v>436</v>
      </c>
      <c r="C10" s="321"/>
      <c r="D10" s="321"/>
      <c r="E10" s="16"/>
      <c r="F10" s="14" t="s">
        <v>68</v>
      </c>
      <c r="G10" s="15" t="s">
        <v>70</v>
      </c>
      <c r="H10" s="15" t="s">
        <v>72</v>
      </c>
      <c r="I10" s="186"/>
      <c r="J10" s="3"/>
    </row>
    <row r="11" spans="2:12" ht="11.25" customHeight="1">
      <c r="C11" s="364"/>
      <c r="D11" s="364"/>
    </row>
    <row r="12" spans="2:12" ht="18.75">
      <c r="B12" s="97">
        <v>1</v>
      </c>
      <c r="C12" s="306" t="s">
        <v>437</v>
      </c>
      <c r="D12" s="307"/>
      <c r="E12" s="2"/>
      <c r="F12" s="64" t="s">
        <v>81</v>
      </c>
      <c r="G12" s="12"/>
      <c r="H12" s="12"/>
      <c r="I12" s="9"/>
    </row>
    <row r="13" spans="2:12" ht="18.75">
      <c r="B13" s="98">
        <v>2</v>
      </c>
      <c r="C13" s="313" t="s">
        <v>438</v>
      </c>
      <c r="D13" s="314"/>
      <c r="E13" s="2"/>
      <c r="F13" s="64" t="s">
        <v>81</v>
      </c>
      <c r="G13" s="12"/>
      <c r="H13" s="12"/>
      <c r="I13" s="9"/>
    </row>
    <row r="14" spans="2:12" ht="18.75">
      <c r="B14" s="97">
        <v>3</v>
      </c>
      <c r="C14" s="306" t="s">
        <v>439</v>
      </c>
      <c r="D14" s="307"/>
      <c r="E14" s="2"/>
      <c r="F14" s="64" t="s">
        <v>81</v>
      </c>
      <c r="G14" s="12"/>
      <c r="H14" s="12"/>
      <c r="I14" s="9"/>
    </row>
    <row r="15" spans="2:12" ht="18.75">
      <c r="B15" s="97">
        <v>4</v>
      </c>
      <c r="C15" s="316" t="s">
        <v>440</v>
      </c>
      <c r="D15" s="317"/>
      <c r="E15" s="2"/>
      <c r="F15" s="64" t="s">
        <v>81</v>
      </c>
      <c r="G15" s="12"/>
      <c r="H15" s="12"/>
      <c r="I15" s="9"/>
    </row>
    <row r="16" spans="2:12" ht="18.75">
      <c r="B16" s="97">
        <v>5</v>
      </c>
      <c r="C16" s="306" t="s">
        <v>441</v>
      </c>
      <c r="D16" s="307"/>
      <c r="E16" s="2"/>
      <c r="F16" s="64" t="s">
        <v>81</v>
      </c>
      <c r="G16" s="12"/>
      <c r="H16" s="12"/>
      <c r="I16" s="9"/>
    </row>
    <row r="17" spans="2:9" ht="18.75">
      <c r="B17" s="99">
        <v>6</v>
      </c>
      <c r="C17" s="310" t="s">
        <v>442</v>
      </c>
      <c r="D17" s="311"/>
      <c r="E17" s="2"/>
      <c r="F17" s="64"/>
      <c r="G17" s="12"/>
      <c r="H17" s="12"/>
      <c r="I17" s="9"/>
    </row>
    <row r="18" spans="2:9" ht="18.75">
      <c r="B18" s="100">
        <v>7</v>
      </c>
      <c r="C18" s="306" t="s">
        <v>443</v>
      </c>
      <c r="D18" s="307"/>
      <c r="F18" s="64"/>
      <c r="G18" s="12"/>
      <c r="H18" s="12"/>
      <c r="I18" s="9"/>
    </row>
    <row r="19" spans="2:9" ht="18.75">
      <c r="B19" s="97">
        <v>8</v>
      </c>
      <c r="C19" s="306" t="s">
        <v>444</v>
      </c>
      <c r="D19" s="307"/>
      <c r="F19" s="64"/>
      <c r="G19" s="12"/>
      <c r="H19" s="12"/>
      <c r="I19" s="9"/>
    </row>
    <row r="20" spans="2:9" ht="18.75">
      <c r="B20" s="97">
        <v>9</v>
      </c>
      <c r="C20" s="306" t="s">
        <v>445</v>
      </c>
      <c r="D20" s="307"/>
      <c r="F20" s="86"/>
      <c r="G20" s="11"/>
      <c r="H20" s="11"/>
      <c r="I20" s="10"/>
    </row>
    <row r="21" spans="2:9" ht="18.75">
      <c r="B21" s="97">
        <v>10</v>
      </c>
      <c r="C21" s="308" t="s">
        <v>446</v>
      </c>
      <c r="D21" s="309"/>
      <c r="F21" s="57"/>
      <c r="G21" s="54"/>
      <c r="H21" s="54"/>
      <c r="I21" s="75"/>
    </row>
  </sheetData>
  <mergeCells count="20">
    <mergeCell ref="C21:D21"/>
    <mergeCell ref="C16:D16"/>
    <mergeCell ref="B2:I2"/>
    <mergeCell ref="C4:D4"/>
    <mergeCell ref="C5:D5"/>
    <mergeCell ref="C6:D6"/>
    <mergeCell ref="B7:C7"/>
    <mergeCell ref="F9:H9"/>
    <mergeCell ref="I9:I10"/>
    <mergeCell ref="B10:D10"/>
    <mergeCell ref="C11:D11"/>
    <mergeCell ref="C12:D12"/>
    <mergeCell ref="C13:D13"/>
    <mergeCell ref="C14:D14"/>
    <mergeCell ref="C15:D15"/>
    <mergeCell ref="K2:L2"/>
    <mergeCell ref="C17:D17"/>
    <mergeCell ref="C18:D18"/>
    <mergeCell ref="C19:D19"/>
    <mergeCell ref="C20:D2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253F6-8BC0-457E-A896-67F2B41F5F2D}">
  <sheetPr>
    <tabColor rgb="FF993366"/>
  </sheetPr>
  <dimension ref="B2:L16"/>
  <sheetViews>
    <sheetView workbookViewId="0">
      <selection activeCell="G12" sqref="G1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18" t="s">
        <v>2</v>
      </c>
      <c r="L2" s="319"/>
    </row>
    <row r="3" spans="2:12" ht="15" customHeight="1">
      <c r="K3" s="54" t="s">
        <v>67</v>
      </c>
      <c r="L3" s="57">
        <f>COUNT(B12:D100)</f>
        <v>5</v>
      </c>
    </row>
    <row r="4" spans="2:12" ht="15.75">
      <c r="B4" s="17" t="s">
        <v>68</v>
      </c>
      <c r="C4" s="358" t="s">
        <v>69</v>
      </c>
      <c r="D4" s="358"/>
      <c r="E4" s="18"/>
      <c r="K4" s="54" t="s">
        <v>15</v>
      </c>
      <c r="L4" s="57">
        <f>COUNTIF(F12:F100,"X")</f>
        <v>0</v>
      </c>
    </row>
    <row r="5" spans="2:12" ht="15.75">
      <c r="B5" s="17" t="s">
        <v>70</v>
      </c>
      <c r="C5" s="358" t="s">
        <v>71</v>
      </c>
      <c r="D5" s="358"/>
      <c r="E5" s="18"/>
      <c r="K5" s="54" t="s">
        <v>74</v>
      </c>
      <c r="L5" s="57">
        <f>_xlfn.PERCENTOF(L4,L3)</f>
        <v>0</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20" t="s">
        <v>436</v>
      </c>
      <c r="C10" s="321"/>
      <c r="D10" s="321"/>
      <c r="E10" s="16"/>
      <c r="F10" s="14" t="s">
        <v>68</v>
      </c>
      <c r="G10" s="15" t="s">
        <v>70</v>
      </c>
      <c r="H10" s="15" t="s">
        <v>72</v>
      </c>
      <c r="I10" s="186"/>
      <c r="J10" s="3"/>
    </row>
    <row r="11" spans="2:12" ht="11.25" customHeight="1">
      <c r="C11" s="364"/>
      <c r="D11" s="364"/>
    </row>
    <row r="12" spans="2:12" ht="26.25" customHeight="1">
      <c r="B12" s="97">
        <v>1</v>
      </c>
      <c r="C12" s="306" t="s">
        <v>447</v>
      </c>
      <c r="D12" s="307"/>
      <c r="E12" s="2"/>
      <c r="F12" s="12"/>
      <c r="G12" s="12"/>
      <c r="H12" s="12"/>
      <c r="I12" s="9"/>
    </row>
    <row r="13" spans="2:12" ht="26.25" customHeight="1">
      <c r="B13" s="98">
        <v>2</v>
      </c>
      <c r="C13" s="313" t="s">
        <v>448</v>
      </c>
      <c r="D13" s="314"/>
      <c r="E13" s="2"/>
      <c r="F13" s="12"/>
      <c r="G13" s="12"/>
      <c r="H13" s="12"/>
      <c r="I13" s="9"/>
    </row>
    <row r="14" spans="2:12" ht="37.5" customHeight="1">
      <c r="B14" s="97">
        <v>3</v>
      </c>
      <c r="C14" s="306" t="s">
        <v>449</v>
      </c>
      <c r="D14" s="307"/>
      <c r="E14" s="2"/>
      <c r="F14" s="12"/>
      <c r="G14" s="12"/>
      <c r="H14" s="12"/>
      <c r="I14" s="9"/>
    </row>
    <row r="15" spans="2:12" ht="26.25" customHeight="1">
      <c r="B15" s="98">
        <v>4</v>
      </c>
      <c r="C15" s="323" t="s">
        <v>450</v>
      </c>
      <c r="D15" s="324"/>
      <c r="E15" s="2"/>
      <c r="F15" s="12"/>
      <c r="G15" s="12"/>
      <c r="H15" s="12"/>
      <c r="I15" s="9"/>
    </row>
    <row r="16" spans="2:12" ht="37.5" customHeight="1">
      <c r="B16" s="101">
        <v>5</v>
      </c>
      <c r="C16" s="322" t="s">
        <v>451</v>
      </c>
      <c r="D16" s="322"/>
      <c r="E16" s="2"/>
      <c r="F16" s="12"/>
      <c r="G16" s="12"/>
      <c r="H16" s="12"/>
      <c r="I16" s="9"/>
    </row>
  </sheetData>
  <mergeCells count="15">
    <mergeCell ref="K2:L2"/>
    <mergeCell ref="C16:D16"/>
    <mergeCell ref="B2:I2"/>
    <mergeCell ref="C4:D4"/>
    <mergeCell ref="C5:D5"/>
    <mergeCell ref="C6:D6"/>
    <mergeCell ref="B7:C7"/>
    <mergeCell ref="F9:H9"/>
    <mergeCell ref="I9:I10"/>
    <mergeCell ref="B10:D10"/>
    <mergeCell ref="C11:D11"/>
    <mergeCell ref="C12:D12"/>
    <mergeCell ref="C13:D13"/>
    <mergeCell ref="C14:D14"/>
    <mergeCell ref="C15:D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9296-7197-46F9-BDF0-741B4156AF65}">
  <sheetPr>
    <tabColor rgb="FFFFFF00"/>
  </sheetPr>
  <dimension ref="B2:L26"/>
  <sheetViews>
    <sheetView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37" t="s">
        <v>2</v>
      </c>
      <c r="L2" s="338"/>
    </row>
    <row r="3" spans="2:12" ht="15" customHeight="1">
      <c r="K3" s="54" t="s">
        <v>67</v>
      </c>
      <c r="L3" s="57">
        <f>COUNT(B12:D100)</f>
        <v>15</v>
      </c>
    </row>
    <row r="4" spans="2:12" ht="15.75">
      <c r="B4" s="17" t="s">
        <v>68</v>
      </c>
      <c r="C4" s="358" t="s">
        <v>69</v>
      </c>
      <c r="D4" s="358"/>
      <c r="E4" s="18"/>
      <c r="K4" s="54" t="s">
        <v>15</v>
      </c>
      <c r="L4" s="57">
        <f>COUNTIF(F12:F100,"X")</f>
        <v>2</v>
      </c>
    </row>
    <row r="5" spans="2:12" ht="15.75">
      <c r="B5" s="17" t="s">
        <v>70</v>
      </c>
      <c r="C5" s="358" t="s">
        <v>71</v>
      </c>
      <c r="D5" s="358"/>
      <c r="E5" s="18"/>
      <c r="K5" s="54" t="s">
        <v>74</v>
      </c>
      <c r="L5" s="57">
        <f>_xlfn.PERCENTOF(L4,L3)</f>
        <v>0.13333333333333333</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26" t="s">
        <v>452</v>
      </c>
      <c r="C10" s="327"/>
      <c r="D10" s="327"/>
      <c r="E10" s="16"/>
      <c r="F10" s="14" t="s">
        <v>68</v>
      </c>
      <c r="G10" s="15" t="s">
        <v>70</v>
      </c>
      <c r="H10" s="15" t="s">
        <v>72</v>
      </c>
      <c r="I10" s="186"/>
      <c r="J10" s="3"/>
    </row>
    <row r="11" spans="2:12" ht="11.25" customHeight="1">
      <c r="C11" s="364"/>
      <c r="D11" s="364"/>
    </row>
    <row r="12" spans="2:12" ht="18.75">
      <c r="B12" s="102">
        <v>1</v>
      </c>
      <c r="C12" s="175" t="s">
        <v>453</v>
      </c>
      <c r="D12" s="325"/>
      <c r="E12" s="2"/>
      <c r="F12" s="64" t="s">
        <v>81</v>
      </c>
      <c r="G12" s="12"/>
      <c r="H12" s="12"/>
      <c r="I12" s="9"/>
    </row>
    <row r="13" spans="2:12" ht="18.75">
      <c r="B13" s="103">
        <v>2</v>
      </c>
      <c r="C13" s="175" t="s">
        <v>454</v>
      </c>
      <c r="D13" s="339"/>
      <c r="E13" s="2"/>
      <c r="F13" s="64"/>
      <c r="G13" s="12"/>
      <c r="H13" s="12"/>
      <c r="I13" s="9"/>
    </row>
    <row r="14" spans="2:12" ht="18.75">
      <c r="B14" s="102">
        <v>3</v>
      </c>
      <c r="C14" s="175" t="s">
        <v>455</v>
      </c>
      <c r="D14" s="325"/>
      <c r="E14" s="2"/>
      <c r="F14" s="64" t="s">
        <v>81</v>
      </c>
      <c r="G14" s="12"/>
      <c r="H14" s="12"/>
      <c r="I14" s="9"/>
    </row>
    <row r="15" spans="2:12" ht="18.75">
      <c r="B15" s="102">
        <v>4</v>
      </c>
      <c r="C15" s="175" t="s">
        <v>456</v>
      </c>
      <c r="D15" s="340"/>
      <c r="E15" s="2"/>
      <c r="F15" s="64"/>
      <c r="G15" s="12"/>
      <c r="H15" s="12"/>
      <c r="I15" s="9"/>
    </row>
    <row r="16" spans="2:12" ht="18.75">
      <c r="B16" s="102">
        <v>5</v>
      </c>
      <c r="C16" s="175" t="s">
        <v>457</v>
      </c>
      <c r="D16" s="325"/>
      <c r="E16" s="2"/>
      <c r="F16" s="12"/>
      <c r="G16" s="12"/>
      <c r="H16" s="12"/>
      <c r="I16" s="9"/>
    </row>
    <row r="17" spans="2:9" ht="18.75">
      <c r="B17" s="104">
        <v>6</v>
      </c>
      <c r="C17" s="332" t="s">
        <v>458</v>
      </c>
      <c r="D17" s="333"/>
      <c r="E17" s="2"/>
      <c r="F17" s="12"/>
      <c r="G17" s="12"/>
      <c r="H17" s="12"/>
      <c r="I17" s="9"/>
    </row>
    <row r="18" spans="2:9" ht="18.75">
      <c r="B18" s="105">
        <v>7</v>
      </c>
      <c r="C18" s="175" t="s">
        <v>459</v>
      </c>
      <c r="D18" s="325"/>
      <c r="F18" s="12"/>
      <c r="G18" s="12"/>
      <c r="H18" s="12"/>
      <c r="I18" s="9"/>
    </row>
    <row r="19" spans="2:9" ht="18.75">
      <c r="B19" s="102">
        <v>8</v>
      </c>
      <c r="C19" s="175" t="s">
        <v>460</v>
      </c>
      <c r="D19" s="325"/>
      <c r="F19" s="12"/>
      <c r="G19" s="12"/>
      <c r="H19" s="12"/>
      <c r="I19" s="9"/>
    </row>
    <row r="20" spans="2:9" ht="18.75">
      <c r="B20" s="103">
        <v>9</v>
      </c>
      <c r="C20" s="334" t="s">
        <v>461</v>
      </c>
      <c r="D20" s="325"/>
      <c r="F20" s="11"/>
      <c r="G20" s="11"/>
      <c r="H20" s="11"/>
      <c r="I20" s="10"/>
    </row>
    <row r="21" spans="2:9" ht="18.75">
      <c r="B21" s="106">
        <v>10</v>
      </c>
      <c r="C21" s="331" t="s">
        <v>462</v>
      </c>
      <c r="D21" s="330"/>
      <c r="F21" s="54"/>
      <c r="G21" s="54"/>
      <c r="H21" s="54"/>
      <c r="I21" s="54"/>
    </row>
    <row r="22" spans="2:9" ht="18.75">
      <c r="B22" s="106">
        <v>11</v>
      </c>
      <c r="C22" s="330" t="s">
        <v>463</v>
      </c>
      <c r="D22" s="330"/>
      <c r="F22" s="54"/>
      <c r="G22" s="54"/>
      <c r="H22" s="54"/>
      <c r="I22" s="54"/>
    </row>
    <row r="23" spans="2:9" ht="18.75">
      <c r="B23" s="106">
        <v>12</v>
      </c>
      <c r="C23" s="330" t="s">
        <v>464</v>
      </c>
      <c r="D23" s="330"/>
      <c r="F23" s="54"/>
      <c r="G23" s="54"/>
      <c r="H23" s="54"/>
      <c r="I23" s="54"/>
    </row>
    <row r="24" spans="2:9" ht="18.75">
      <c r="B24" s="106">
        <v>13</v>
      </c>
      <c r="C24" s="330" t="s">
        <v>465</v>
      </c>
      <c r="D24" s="330"/>
      <c r="F24" s="54"/>
      <c r="G24" s="54"/>
      <c r="H24" s="54"/>
      <c r="I24" s="54"/>
    </row>
    <row r="25" spans="2:9" ht="18.75">
      <c r="B25" s="107">
        <v>14</v>
      </c>
      <c r="C25" s="335" t="s">
        <v>466</v>
      </c>
      <c r="D25" s="336"/>
      <c r="F25" s="74"/>
      <c r="G25" s="74"/>
      <c r="H25" s="74"/>
      <c r="I25" s="74"/>
    </row>
    <row r="26" spans="2:9" ht="18.75">
      <c r="B26" s="108">
        <v>15</v>
      </c>
      <c r="C26" s="328" t="s">
        <v>467</v>
      </c>
      <c r="D26" s="329"/>
    </row>
  </sheetData>
  <mergeCells count="25">
    <mergeCell ref="K2:L2"/>
    <mergeCell ref="C12:D12"/>
    <mergeCell ref="C13:D13"/>
    <mergeCell ref="C14:D14"/>
    <mergeCell ref="C15:D15"/>
    <mergeCell ref="B7:C7"/>
    <mergeCell ref="C26:D26"/>
    <mergeCell ref="C23:D23"/>
    <mergeCell ref="C24:D24"/>
    <mergeCell ref="C21:D21"/>
    <mergeCell ref="C17:D17"/>
    <mergeCell ref="C18:D18"/>
    <mergeCell ref="C19:D19"/>
    <mergeCell ref="C20:D20"/>
    <mergeCell ref="C25:D25"/>
    <mergeCell ref="C22:D22"/>
    <mergeCell ref="C16:D16"/>
    <mergeCell ref="B2:I2"/>
    <mergeCell ref="C4:D4"/>
    <mergeCell ref="C5:D5"/>
    <mergeCell ref="C6:D6"/>
    <mergeCell ref="F9:H9"/>
    <mergeCell ref="I9:I10"/>
    <mergeCell ref="B10:D10"/>
    <mergeCell ref="C11:D1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BD8E-0AE9-4D1E-B515-B5281C9B12BA}">
  <sheetPr>
    <tabColor rgb="FFFF0066"/>
  </sheetPr>
  <dimension ref="B2:L21"/>
  <sheetViews>
    <sheetView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41" t="s">
        <v>2</v>
      </c>
      <c r="L2" s="342"/>
    </row>
    <row r="3" spans="2:12" ht="15" customHeight="1">
      <c r="K3" s="54" t="s">
        <v>67</v>
      </c>
      <c r="L3" s="57">
        <f>COUNT(B12:D100)</f>
        <v>10</v>
      </c>
    </row>
    <row r="4" spans="2:12" ht="15.75">
      <c r="B4" s="17" t="s">
        <v>68</v>
      </c>
      <c r="C4" s="358" t="s">
        <v>69</v>
      </c>
      <c r="D4" s="358"/>
      <c r="E4" s="18"/>
      <c r="K4" s="54" t="s">
        <v>15</v>
      </c>
      <c r="L4" s="57">
        <f>COUNTIF(F12:F100,"X")</f>
        <v>0</v>
      </c>
    </row>
    <row r="5" spans="2:12" ht="15.75">
      <c r="B5" s="17" t="s">
        <v>70</v>
      </c>
      <c r="C5" s="358" t="s">
        <v>71</v>
      </c>
      <c r="D5" s="358"/>
      <c r="E5" s="18"/>
      <c r="K5" s="54" t="s">
        <v>74</v>
      </c>
      <c r="L5" s="57">
        <f>_xlfn.PERCENTOF(L4,L3)</f>
        <v>0</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43" t="s">
        <v>468</v>
      </c>
      <c r="C10" s="344"/>
      <c r="D10" s="344"/>
      <c r="E10" s="16"/>
      <c r="F10" s="14" t="s">
        <v>68</v>
      </c>
      <c r="G10" s="15" t="s">
        <v>70</v>
      </c>
      <c r="H10" s="15" t="s">
        <v>72</v>
      </c>
      <c r="I10" s="186"/>
      <c r="J10" s="3"/>
    </row>
    <row r="11" spans="2:12" ht="11.25" customHeight="1">
      <c r="C11" s="364"/>
      <c r="D11" s="364"/>
    </row>
    <row r="12" spans="2:12" ht="18.75">
      <c r="B12" s="113">
        <v>1</v>
      </c>
      <c r="C12" s="306" t="s">
        <v>469</v>
      </c>
      <c r="D12" s="307"/>
      <c r="E12" s="2"/>
      <c r="F12" s="12"/>
      <c r="G12" s="12"/>
      <c r="H12" s="12"/>
      <c r="I12" s="9"/>
    </row>
    <row r="13" spans="2:12" ht="18.75">
      <c r="B13" s="114">
        <v>2</v>
      </c>
      <c r="C13" s="313" t="s">
        <v>470</v>
      </c>
      <c r="D13" s="314"/>
      <c r="E13" s="2"/>
      <c r="F13" s="12"/>
      <c r="G13" s="12"/>
      <c r="H13" s="12"/>
      <c r="I13" s="9"/>
    </row>
    <row r="14" spans="2:12" ht="18.75">
      <c r="B14" s="113">
        <v>3</v>
      </c>
      <c r="C14" s="306" t="s">
        <v>471</v>
      </c>
      <c r="D14" s="307"/>
      <c r="E14" s="2"/>
      <c r="F14" s="12"/>
      <c r="G14" s="12"/>
      <c r="H14" s="12"/>
      <c r="I14" s="9"/>
    </row>
    <row r="15" spans="2:12" ht="18.75">
      <c r="B15" s="113">
        <v>4</v>
      </c>
      <c r="C15" s="316" t="s">
        <v>472</v>
      </c>
      <c r="D15" s="317"/>
      <c r="E15" s="2"/>
      <c r="F15" s="12"/>
      <c r="G15" s="12"/>
      <c r="H15" s="12"/>
      <c r="I15" s="9"/>
    </row>
    <row r="16" spans="2:12" ht="18.75">
      <c r="B16" s="113">
        <v>5</v>
      </c>
      <c r="C16" s="306" t="s">
        <v>473</v>
      </c>
      <c r="D16" s="307"/>
      <c r="E16" s="2"/>
      <c r="F16" s="12"/>
      <c r="G16" s="12"/>
      <c r="H16" s="12"/>
      <c r="I16" s="9"/>
    </row>
    <row r="17" spans="2:9" ht="18.75">
      <c r="B17" s="116">
        <v>6</v>
      </c>
      <c r="C17" s="310" t="s">
        <v>474</v>
      </c>
      <c r="D17" s="311"/>
      <c r="E17" s="2"/>
      <c r="F17" s="12"/>
      <c r="G17" s="12"/>
      <c r="H17" s="12"/>
      <c r="I17" s="9"/>
    </row>
    <row r="18" spans="2:9" ht="18.75">
      <c r="B18" s="117">
        <v>7</v>
      </c>
      <c r="C18" s="306" t="s">
        <v>475</v>
      </c>
      <c r="D18" s="307"/>
      <c r="F18" s="12"/>
      <c r="G18" s="12"/>
      <c r="H18" s="12"/>
      <c r="I18" s="9"/>
    </row>
    <row r="19" spans="2:9" ht="18.75">
      <c r="B19" s="113">
        <v>8</v>
      </c>
      <c r="C19" s="306" t="s">
        <v>476</v>
      </c>
      <c r="D19" s="307"/>
      <c r="F19" s="12"/>
      <c r="G19" s="12"/>
      <c r="H19" s="12"/>
      <c r="I19" s="9"/>
    </row>
    <row r="20" spans="2:9" ht="18.75">
      <c r="B20" s="113">
        <v>9</v>
      </c>
      <c r="C20" s="306" t="s">
        <v>477</v>
      </c>
      <c r="D20" s="307"/>
      <c r="F20" s="12"/>
      <c r="G20" s="12"/>
      <c r="H20" s="12"/>
      <c r="I20" s="9"/>
    </row>
    <row r="21" spans="2:9" ht="18.75">
      <c r="B21" s="113">
        <v>10</v>
      </c>
      <c r="C21" s="308" t="s">
        <v>478</v>
      </c>
      <c r="D21" s="309"/>
      <c r="F21" s="11"/>
      <c r="G21" s="11"/>
      <c r="H21" s="11"/>
      <c r="I21" s="10"/>
    </row>
  </sheetData>
  <mergeCells count="20">
    <mergeCell ref="C21:D21"/>
    <mergeCell ref="C16:D16"/>
    <mergeCell ref="B2:I2"/>
    <mergeCell ref="C4:D4"/>
    <mergeCell ref="C5:D5"/>
    <mergeCell ref="C6:D6"/>
    <mergeCell ref="B7:C7"/>
    <mergeCell ref="F9:H9"/>
    <mergeCell ref="I9:I10"/>
    <mergeCell ref="B10:D10"/>
    <mergeCell ref="C11:D11"/>
    <mergeCell ref="C12:D12"/>
    <mergeCell ref="C13:D13"/>
    <mergeCell ref="C14:D14"/>
    <mergeCell ref="C15:D15"/>
    <mergeCell ref="K2:L2"/>
    <mergeCell ref="C17:D17"/>
    <mergeCell ref="C18:D18"/>
    <mergeCell ref="C19:D19"/>
    <mergeCell ref="C20:D2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6B73-9C41-4F66-B2A4-8B5F39353156}">
  <sheetPr>
    <tabColor rgb="FFFF0066"/>
  </sheetPr>
  <dimension ref="B2:L16"/>
  <sheetViews>
    <sheetView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41" t="s">
        <v>2</v>
      </c>
      <c r="L2" s="342"/>
    </row>
    <row r="3" spans="2:12" ht="15" customHeight="1">
      <c r="K3" s="54" t="s">
        <v>67</v>
      </c>
      <c r="L3" s="57">
        <f>COUNT(B12:D100)</f>
        <v>5</v>
      </c>
    </row>
    <row r="4" spans="2:12" ht="15.75">
      <c r="B4" s="17" t="s">
        <v>68</v>
      </c>
      <c r="C4" s="358" t="s">
        <v>69</v>
      </c>
      <c r="D4" s="358"/>
      <c r="E4" s="18"/>
      <c r="K4" s="54" t="s">
        <v>15</v>
      </c>
      <c r="L4" s="57">
        <f>COUNTIF(F12:F100,"X")</f>
        <v>0</v>
      </c>
    </row>
    <row r="5" spans="2:12" ht="15.75">
      <c r="B5" s="17" t="s">
        <v>70</v>
      </c>
      <c r="C5" s="358" t="s">
        <v>71</v>
      </c>
      <c r="D5" s="358"/>
      <c r="E5" s="18"/>
      <c r="K5" s="54" t="s">
        <v>74</v>
      </c>
      <c r="L5" s="57">
        <f>_xlfn.PERCENTOF(L4,L3)</f>
        <v>0</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43" t="s">
        <v>479</v>
      </c>
      <c r="C10" s="344"/>
      <c r="D10" s="344"/>
      <c r="E10" s="16"/>
      <c r="F10" s="14" t="s">
        <v>68</v>
      </c>
      <c r="G10" s="15" t="s">
        <v>70</v>
      </c>
      <c r="H10" s="15" t="s">
        <v>72</v>
      </c>
      <c r="I10" s="186"/>
      <c r="J10" s="3"/>
    </row>
    <row r="11" spans="2:12" ht="11.25" customHeight="1">
      <c r="C11" s="364"/>
      <c r="D11" s="364"/>
    </row>
    <row r="12" spans="2:12" ht="18.75">
      <c r="B12" s="113">
        <v>1</v>
      </c>
      <c r="C12" s="306" t="s">
        <v>480</v>
      </c>
      <c r="D12" s="307"/>
      <c r="E12" s="2"/>
      <c r="F12" s="12"/>
      <c r="G12" s="12"/>
      <c r="H12" s="12"/>
      <c r="I12" s="9"/>
    </row>
    <row r="13" spans="2:12" ht="18.75">
      <c r="B13" s="114">
        <v>2</v>
      </c>
      <c r="C13" s="313" t="s">
        <v>481</v>
      </c>
      <c r="D13" s="314"/>
      <c r="E13" s="2"/>
      <c r="F13" s="12"/>
      <c r="G13" s="12"/>
      <c r="H13" s="12"/>
      <c r="I13" s="9"/>
    </row>
    <row r="14" spans="2:12" ht="18.75">
      <c r="B14" s="113">
        <v>3</v>
      </c>
      <c r="C14" s="306" t="s">
        <v>482</v>
      </c>
      <c r="D14" s="307"/>
      <c r="E14" s="2"/>
      <c r="F14" s="12"/>
      <c r="G14" s="12"/>
      <c r="H14" s="12"/>
      <c r="I14" s="9"/>
    </row>
    <row r="15" spans="2:12" ht="18.75">
      <c r="B15" s="114">
        <v>4</v>
      </c>
      <c r="C15" s="323" t="s">
        <v>483</v>
      </c>
      <c r="D15" s="324"/>
      <c r="E15" s="2"/>
      <c r="F15" s="12"/>
      <c r="G15" s="12"/>
      <c r="H15" s="12"/>
      <c r="I15" s="9"/>
    </row>
    <row r="16" spans="2:12" ht="18.75">
      <c r="B16" s="115">
        <v>5</v>
      </c>
      <c r="C16" s="322" t="s">
        <v>484</v>
      </c>
      <c r="D16" s="322"/>
      <c r="E16" s="2"/>
      <c r="F16" s="12"/>
      <c r="G16" s="12"/>
      <c r="H16" s="12"/>
      <c r="I16" s="9"/>
    </row>
  </sheetData>
  <mergeCells count="15">
    <mergeCell ref="K2:L2"/>
    <mergeCell ref="C16:D16"/>
    <mergeCell ref="B2:I2"/>
    <mergeCell ref="C4:D4"/>
    <mergeCell ref="C5:D5"/>
    <mergeCell ref="C6:D6"/>
    <mergeCell ref="B7:C7"/>
    <mergeCell ref="F9:H9"/>
    <mergeCell ref="I9:I10"/>
    <mergeCell ref="B10:D10"/>
    <mergeCell ref="C11:D11"/>
    <mergeCell ref="C12:D12"/>
    <mergeCell ref="C13:D13"/>
    <mergeCell ref="C14:D14"/>
    <mergeCell ref="C15:D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6EE6-B5AA-4110-9399-513C7414DC4D}">
  <sheetPr>
    <tabColor rgb="FFC60606"/>
  </sheetPr>
  <dimension ref="B2:L22"/>
  <sheetViews>
    <sheetView workbookViewId="0">
      <selection activeCell="K2" sqref="K2:L5"/>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00" t="s">
        <v>2</v>
      </c>
      <c r="L2" s="301"/>
    </row>
    <row r="3" spans="2:12" ht="15" customHeight="1">
      <c r="K3" s="54" t="s">
        <v>67</v>
      </c>
      <c r="L3" s="57">
        <f>COUNT(B12:D100)</f>
        <v>10</v>
      </c>
    </row>
    <row r="4" spans="2:12" ht="15.75">
      <c r="B4" s="17" t="s">
        <v>68</v>
      </c>
      <c r="C4" s="358" t="s">
        <v>69</v>
      </c>
      <c r="D4" s="358"/>
      <c r="E4" s="18"/>
      <c r="K4" s="54" t="s">
        <v>15</v>
      </c>
      <c r="L4" s="57">
        <f>COUNTIF(F12:F100,"X")</f>
        <v>8</v>
      </c>
    </row>
    <row r="5" spans="2:12" ht="15.75">
      <c r="B5" s="17" t="s">
        <v>70</v>
      </c>
      <c r="C5" s="358" t="s">
        <v>71</v>
      </c>
      <c r="D5" s="358"/>
      <c r="E5" s="18"/>
      <c r="K5" s="54" t="s">
        <v>74</v>
      </c>
      <c r="L5" s="57">
        <f>_xlfn.PERCENTOF(L4,L3)</f>
        <v>0.8</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45" t="s">
        <v>485</v>
      </c>
      <c r="C10" s="346"/>
      <c r="D10" s="346"/>
      <c r="E10" s="16"/>
      <c r="F10" s="14" t="s">
        <v>68</v>
      </c>
      <c r="G10" s="15" t="s">
        <v>70</v>
      </c>
      <c r="H10" s="15" t="s">
        <v>72</v>
      </c>
      <c r="I10" s="186"/>
      <c r="J10" s="3"/>
    </row>
    <row r="11" spans="2:12" ht="11.25" customHeight="1">
      <c r="C11" s="364"/>
      <c r="D11" s="364"/>
    </row>
    <row r="12" spans="2:12" ht="18.75">
      <c r="B12" s="109">
        <v>1</v>
      </c>
      <c r="C12" s="306" t="s">
        <v>486</v>
      </c>
      <c r="D12" s="307"/>
      <c r="E12" s="2"/>
      <c r="F12" s="64" t="s">
        <v>81</v>
      </c>
      <c r="G12" s="12"/>
      <c r="H12" s="12"/>
      <c r="I12" s="9"/>
    </row>
    <row r="13" spans="2:12" ht="18.75">
      <c r="B13" s="110">
        <v>2</v>
      </c>
      <c r="C13" s="313" t="s">
        <v>487</v>
      </c>
      <c r="D13" s="314"/>
      <c r="E13" s="2"/>
      <c r="F13" s="64" t="s">
        <v>81</v>
      </c>
      <c r="G13" s="12"/>
      <c r="H13" s="12"/>
      <c r="I13" s="9"/>
    </row>
    <row r="14" spans="2:12" ht="18.75">
      <c r="B14" s="109">
        <v>3</v>
      </c>
      <c r="C14" s="306" t="s">
        <v>488</v>
      </c>
      <c r="D14" s="307"/>
      <c r="E14" s="2"/>
      <c r="F14" s="64" t="s">
        <v>81</v>
      </c>
      <c r="G14" s="12"/>
      <c r="H14" s="12"/>
      <c r="I14" s="9"/>
    </row>
    <row r="15" spans="2:12" ht="18.75">
      <c r="B15" s="109">
        <v>4</v>
      </c>
      <c r="C15" s="316" t="s">
        <v>489</v>
      </c>
      <c r="D15" s="317"/>
      <c r="E15" s="2"/>
      <c r="F15" s="64" t="s">
        <v>81</v>
      </c>
      <c r="G15" s="12"/>
      <c r="H15" s="12"/>
      <c r="I15" s="9"/>
    </row>
    <row r="16" spans="2:12" ht="18.75">
      <c r="B16" s="109">
        <v>5</v>
      </c>
      <c r="C16" s="306" t="s">
        <v>490</v>
      </c>
      <c r="D16" s="307"/>
      <c r="E16" s="2"/>
      <c r="F16" s="64" t="s">
        <v>81</v>
      </c>
      <c r="G16" s="12"/>
      <c r="H16" s="12"/>
      <c r="I16" s="9"/>
    </row>
    <row r="17" spans="2:9" ht="18.75">
      <c r="B17" s="111">
        <v>6</v>
      </c>
      <c r="C17" s="310" t="s">
        <v>491</v>
      </c>
      <c r="D17" s="311"/>
      <c r="E17" s="2"/>
      <c r="F17" s="64"/>
      <c r="G17" s="12"/>
      <c r="H17" s="12"/>
      <c r="I17" s="9"/>
    </row>
    <row r="18" spans="2:9" ht="18.75">
      <c r="B18" s="112">
        <v>7</v>
      </c>
      <c r="C18" s="306" t="s">
        <v>492</v>
      </c>
      <c r="D18" s="307"/>
      <c r="F18" s="64" t="s">
        <v>81</v>
      </c>
      <c r="G18" s="12"/>
      <c r="H18" s="12"/>
      <c r="I18" s="9"/>
    </row>
    <row r="19" spans="2:9" ht="18.75">
      <c r="B19" s="109">
        <v>8</v>
      </c>
      <c r="C19" s="306" t="s">
        <v>493</v>
      </c>
      <c r="D19" s="307"/>
      <c r="F19" s="64" t="s">
        <v>81</v>
      </c>
      <c r="G19" s="12"/>
      <c r="H19" s="12"/>
      <c r="I19" s="9"/>
    </row>
    <row r="20" spans="2:9" ht="18.75">
      <c r="B20" s="109">
        <v>9</v>
      </c>
      <c r="C20" s="306" t="s">
        <v>494</v>
      </c>
      <c r="D20" s="307"/>
      <c r="F20" s="86" t="s">
        <v>81</v>
      </c>
      <c r="G20" s="11"/>
      <c r="H20" s="11"/>
      <c r="I20" s="10"/>
    </row>
    <row r="21" spans="2:9" ht="18.75">
      <c r="B21" s="109">
        <v>10</v>
      </c>
      <c r="C21" s="308" t="s">
        <v>495</v>
      </c>
      <c r="D21" s="309"/>
      <c r="F21" s="54"/>
      <c r="G21" s="54"/>
      <c r="H21" s="54"/>
      <c r="I21" s="54"/>
    </row>
    <row r="22" spans="2:9">
      <c r="G22" s="74"/>
    </row>
  </sheetData>
  <mergeCells count="20">
    <mergeCell ref="C21:D21"/>
    <mergeCell ref="C16:D16"/>
    <mergeCell ref="B2:I2"/>
    <mergeCell ref="C4:D4"/>
    <mergeCell ref="C5:D5"/>
    <mergeCell ref="C6:D6"/>
    <mergeCell ref="B7:C7"/>
    <mergeCell ref="F9:H9"/>
    <mergeCell ref="I9:I10"/>
    <mergeCell ref="B10:D10"/>
    <mergeCell ref="C11:D11"/>
    <mergeCell ref="C12:D12"/>
    <mergeCell ref="C13:D13"/>
    <mergeCell ref="C14:D14"/>
    <mergeCell ref="C15:D15"/>
    <mergeCell ref="K2:L2"/>
    <mergeCell ref="C17:D17"/>
    <mergeCell ref="C18:D18"/>
    <mergeCell ref="C19:D19"/>
    <mergeCell ref="C20:D2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9A50F-3FC7-40F2-AF0F-C3AD252F00DE}">
  <sheetPr>
    <tabColor rgb="FFC60606"/>
  </sheetPr>
  <dimension ref="B2:L17"/>
  <sheetViews>
    <sheetView topLeftCell="D1" workbookViewId="0">
      <selection activeCell="I24" sqref="I24"/>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s>
  <sheetData>
    <row r="2" spans="2:12" ht="21.75" customHeight="1">
      <c r="B2" s="253" t="s">
        <v>66</v>
      </c>
      <c r="C2" s="254"/>
      <c r="D2" s="254"/>
      <c r="E2" s="254"/>
      <c r="F2" s="254"/>
      <c r="G2" s="254"/>
      <c r="H2" s="254"/>
      <c r="I2" s="254"/>
      <c r="K2" s="300" t="s">
        <v>2</v>
      </c>
      <c r="L2" s="301"/>
    </row>
    <row r="3" spans="2:12" ht="15" customHeight="1">
      <c r="K3" s="54" t="s">
        <v>67</v>
      </c>
      <c r="L3" s="57">
        <f>COUNT(B12:D100)</f>
        <v>5</v>
      </c>
    </row>
    <row r="4" spans="2:12" ht="15.75">
      <c r="B4" s="17" t="s">
        <v>68</v>
      </c>
      <c r="C4" s="358" t="s">
        <v>69</v>
      </c>
      <c r="D4" s="358"/>
      <c r="E4" s="18"/>
      <c r="K4" s="54" t="s">
        <v>15</v>
      </c>
      <c r="L4" s="57">
        <f>COUNTIF(F12:F100,"X")</f>
        <v>5</v>
      </c>
    </row>
    <row r="5" spans="2:12" ht="15.75">
      <c r="B5" s="17" t="s">
        <v>70</v>
      </c>
      <c r="C5" s="358" t="s">
        <v>71</v>
      </c>
      <c r="D5" s="358"/>
      <c r="E5" s="18"/>
      <c r="K5" s="54" t="s">
        <v>74</v>
      </c>
      <c r="L5" s="57">
        <f>_xlfn.PERCENTOF(L4,L3)</f>
        <v>1</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45" t="s">
        <v>485</v>
      </c>
      <c r="C10" s="346"/>
      <c r="D10" s="346"/>
      <c r="E10" s="16"/>
      <c r="F10" s="14" t="s">
        <v>68</v>
      </c>
      <c r="G10" s="15" t="s">
        <v>70</v>
      </c>
      <c r="H10" s="15" t="s">
        <v>72</v>
      </c>
      <c r="I10" s="186"/>
      <c r="J10" s="3"/>
    </row>
    <row r="11" spans="2:12" ht="11.25" customHeight="1">
      <c r="C11" s="364"/>
      <c r="D11" s="364"/>
    </row>
    <row r="12" spans="2:12" ht="18.75">
      <c r="B12" s="109">
        <v>1</v>
      </c>
      <c r="C12" s="306" t="s">
        <v>496</v>
      </c>
      <c r="D12" s="307"/>
      <c r="E12" s="2"/>
      <c r="F12" s="50" t="s">
        <v>81</v>
      </c>
      <c r="G12" s="12"/>
      <c r="H12" s="12"/>
      <c r="I12" s="9"/>
    </row>
    <row r="13" spans="2:12" ht="18.75">
      <c r="B13" s="110">
        <v>2</v>
      </c>
      <c r="C13" s="313" t="s">
        <v>497</v>
      </c>
      <c r="D13" s="314"/>
      <c r="E13" s="2"/>
      <c r="F13" s="64" t="s">
        <v>81</v>
      </c>
      <c r="G13" s="12"/>
      <c r="H13" s="12"/>
      <c r="I13" s="9"/>
    </row>
    <row r="14" spans="2:12" ht="18.75">
      <c r="B14" s="109">
        <v>3</v>
      </c>
      <c r="C14" s="306" t="s">
        <v>498</v>
      </c>
      <c r="D14" s="307"/>
      <c r="E14" s="2"/>
      <c r="F14" s="64" t="s">
        <v>81</v>
      </c>
      <c r="G14" s="12"/>
      <c r="H14" s="12"/>
      <c r="I14" s="9"/>
    </row>
    <row r="15" spans="2:12" ht="18.75">
      <c r="B15" s="110">
        <v>4</v>
      </c>
      <c r="C15" s="323" t="s">
        <v>499</v>
      </c>
      <c r="D15" s="324"/>
      <c r="E15" s="2"/>
      <c r="F15" s="64" t="s">
        <v>81</v>
      </c>
      <c r="G15" s="12"/>
      <c r="H15" s="12"/>
      <c r="I15" s="9"/>
    </row>
    <row r="16" spans="2:12" ht="18.75">
      <c r="B16" s="118">
        <v>5</v>
      </c>
      <c r="C16" s="322" t="s">
        <v>500</v>
      </c>
      <c r="D16" s="322"/>
      <c r="E16" s="2"/>
      <c r="F16" s="64" t="s">
        <v>81</v>
      </c>
      <c r="G16" s="12"/>
      <c r="H16" s="12"/>
      <c r="I16" s="9"/>
    </row>
    <row r="17" spans="7:7">
      <c r="G17" s="74"/>
    </row>
  </sheetData>
  <mergeCells count="15">
    <mergeCell ref="K2:L2"/>
    <mergeCell ref="C16:D16"/>
    <mergeCell ref="B2:I2"/>
    <mergeCell ref="C4:D4"/>
    <mergeCell ref="C5:D5"/>
    <mergeCell ref="C6:D6"/>
    <mergeCell ref="B7:C7"/>
    <mergeCell ref="F9:H9"/>
    <mergeCell ref="I9:I10"/>
    <mergeCell ref="B10:D10"/>
    <mergeCell ref="C11:D11"/>
    <mergeCell ref="C12:D12"/>
    <mergeCell ref="C13:D13"/>
    <mergeCell ref="C14:D14"/>
    <mergeCell ref="C15:D1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D67D-B1EC-45A0-BA03-8BDECFF1F0B3}">
  <sheetPr>
    <tabColor rgb="FF0070C0"/>
  </sheetPr>
  <dimension ref="B2:L26"/>
  <sheetViews>
    <sheetView topLeftCell="D1"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5703125" bestFit="1" customWidth="1"/>
  </cols>
  <sheetData>
    <row r="2" spans="2:12" ht="21.75" customHeight="1">
      <c r="B2" s="253" t="s">
        <v>66</v>
      </c>
      <c r="C2" s="254"/>
      <c r="D2" s="254"/>
      <c r="E2" s="254"/>
      <c r="F2" s="254"/>
      <c r="G2" s="254"/>
      <c r="H2" s="254"/>
      <c r="I2" s="254"/>
      <c r="K2" s="353" t="s">
        <v>2</v>
      </c>
      <c r="L2" s="354"/>
    </row>
    <row r="3" spans="2:12" ht="15" customHeight="1">
      <c r="K3" s="54" t="s">
        <v>67</v>
      </c>
      <c r="L3" s="57">
        <f>COUNT(B12:D100)</f>
        <v>15</v>
      </c>
    </row>
    <row r="4" spans="2:12" ht="15.75">
      <c r="B4" s="17" t="s">
        <v>68</v>
      </c>
      <c r="C4" s="358" t="s">
        <v>69</v>
      </c>
      <c r="D4" s="358"/>
      <c r="E4" s="18"/>
      <c r="K4" s="54" t="s">
        <v>15</v>
      </c>
      <c r="L4" s="57">
        <f>COUNTIF(F12:F100,"X")</f>
        <v>0</v>
      </c>
    </row>
    <row r="5" spans="2:12" ht="15.75">
      <c r="B5" s="17" t="s">
        <v>70</v>
      </c>
      <c r="C5" s="358" t="s">
        <v>71</v>
      </c>
      <c r="D5" s="358"/>
      <c r="E5" s="18"/>
      <c r="K5" s="54" t="s">
        <v>74</v>
      </c>
      <c r="L5" s="57">
        <f>_xlfn.PERCENTOF(L4,L3)</f>
        <v>0</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47" t="s">
        <v>501</v>
      </c>
      <c r="C10" s="348"/>
      <c r="D10" s="348"/>
      <c r="E10" s="16"/>
      <c r="F10" s="14" t="s">
        <v>68</v>
      </c>
      <c r="G10" s="15" t="s">
        <v>70</v>
      </c>
      <c r="H10" s="15" t="s">
        <v>72</v>
      </c>
      <c r="I10" s="186"/>
      <c r="J10" s="3"/>
    </row>
    <row r="11" spans="2:12" ht="11.25" customHeight="1">
      <c r="C11" s="364"/>
      <c r="D11" s="364"/>
    </row>
    <row r="12" spans="2:12" ht="18.75">
      <c r="B12" s="6">
        <v>1</v>
      </c>
      <c r="C12" s="306" t="s">
        <v>502</v>
      </c>
      <c r="D12" s="307"/>
      <c r="E12" s="2"/>
      <c r="F12" s="12"/>
      <c r="G12" s="12"/>
      <c r="H12" s="12"/>
      <c r="I12" s="9"/>
    </row>
    <row r="13" spans="2:12" ht="18.75">
      <c r="B13" s="8">
        <v>2</v>
      </c>
      <c r="C13" s="313" t="s">
        <v>503</v>
      </c>
      <c r="D13" s="314"/>
      <c r="E13" s="2"/>
      <c r="F13" s="12"/>
      <c r="G13" s="12"/>
      <c r="H13" s="12"/>
      <c r="I13" s="9"/>
    </row>
    <row r="14" spans="2:12" ht="18.75">
      <c r="B14" s="6">
        <v>3</v>
      </c>
      <c r="C14" s="306" t="s">
        <v>504</v>
      </c>
      <c r="D14" s="307"/>
      <c r="E14" s="2"/>
      <c r="F14" s="12"/>
      <c r="G14" s="12"/>
      <c r="H14" s="12"/>
      <c r="I14" s="9"/>
    </row>
    <row r="15" spans="2:12" ht="18.75">
      <c r="B15" s="6">
        <v>4</v>
      </c>
      <c r="C15" s="316" t="s">
        <v>505</v>
      </c>
      <c r="D15" s="317"/>
      <c r="E15" s="2"/>
      <c r="F15" s="12"/>
      <c r="G15" s="12"/>
      <c r="H15" s="12"/>
      <c r="I15" s="9"/>
    </row>
    <row r="16" spans="2:12" ht="18.75">
      <c r="B16" s="6">
        <v>5</v>
      </c>
      <c r="C16" s="306" t="s">
        <v>506</v>
      </c>
      <c r="D16" s="307"/>
      <c r="E16" s="2"/>
      <c r="F16" s="12"/>
      <c r="G16" s="12"/>
      <c r="H16" s="12"/>
      <c r="I16" s="9"/>
    </row>
    <row r="17" spans="2:9" ht="18.75">
      <c r="B17" s="5">
        <v>6</v>
      </c>
      <c r="C17" s="310" t="s">
        <v>507</v>
      </c>
      <c r="D17" s="311"/>
      <c r="E17" s="2"/>
      <c r="F17" s="12"/>
      <c r="G17" s="12"/>
      <c r="H17" s="12"/>
      <c r="I17" s="9"/>
    </row>
    <row r="18" spans="2:9" ht="18.75">
      <c r="B18" s="7">
        <v>7</v>
      </c>
      <c r="C18" s="306" t="s">
        <v>508</v>
      </c>
      <c r="D18" s="307"/>
      <c r="F18" s="12"/>
      <c r="G18" s="12"/>
      <c r="H18" s="12"/>
      <c r="I18" s="9"/>
    </row>
    <row r="19" spans="2:9" ht="18.75">
      <c r="B19" s="6">
        <v>8</v>
      </c>
      <c r="C19" s="306" t="s">
        <v>509</v>
      </c>
      <c r="D19" s="307"/>
      <c r="F19" s="12"/>
      <c r="G19" s="12"/>
      <c r="H19" s="12"/>
      <c r="I19" s="9"/>
    </row>
    <row r="20" spans="2:9" ht="18.75">
      <c r="B20" s="6">
        <v>9</v>
      </c>
      <c r="C20" s="306" t="s">
        <v>510</v>
      </c>
      <c r="D20" s="307"/>
      <c r="F20" s="12"/>
      <c r="G20" s="12"/>
      <c r="H20" s="12"/>
      <c r="I20" s="9"/>
    </row>
    <row r="21" spans="2:9" ht="18.75">
      <c r="B21" s="6">
        <v>10</v>
      </c>
      <c r="C21" s="308" t="s">
        <v>511</v>
      </c>
      <c r="D21" s="309"/>
      <c r="F21" s="11"/>
      <c r="G21" s="11"/>
      <c r="H21" s="11"/>
      <c r="I21" s="10"/>
    </row>
    <row r="22" spans="2:9" ht="18.75">
      <c r="B22" s="6">
        <v>11</v>
      </c>
      <c r="C22" s="351" t="s">
        <v>512</v>
      </c>
      <c r="D22" s="352"/>
      <c r="F22" s="12"/>
      <c r="G22" s="12"/>
      <c r="H22" s="12"/>
      <c r="I22" s="9"/>
    </row>
    <row r="23" spans="2:9" ht="18.75">
      <c r="B23" s="6">
        <v>12</v>
      </c>
      <c r="C23" s="349" t="s">
        <v>513</v>
      </c>
      <c r="D23" s="350"/>
      <c r="F23" s="12"/>
      <c r="G23" s="12"/>
      <c r="H23" s="12"/>
      <c r="I23" s="9"/>
    </row>
    <row r="24" spans="2:9" ht="18.75">
      <c r="B24" s="6">
        <v>13</v>
      </c>
      <c r="C24" s="316" t="s">
        <v>514</v>
      </c>
      <c r="D24" s="317"/>
      <c r="F24" s="12"/>
      <c r="G24" s="12"/>
      <c r="H24" s="12"/>
      <c r="I24" s="9"/>
    </row>
    <row r="25" spans="2:9" ht="18.75">
      <c r="B25" s="6">
        <v>14</v>
      </c>
      <c r="C25" s="316" t="s">
        <v>515</v>
      </c>
      <c r="D25" s="317"/>
      <c r="F25" s="11"/>
      <c r="G25" s="11"/>
      <c r="H25" s="11"/>
      <c r="I25" s="10"/>
    </row>
    <row r="26" spans="2:9" ht="18.75">
      <c r="B26" s="6">
        <v>15</v>
      </c>
      <c r="C26" s="316" t="s">
        <v>516</v>
      </c>
      <c r="D26" s="317"/>
      <c r="F26" s="54"/>
      <c r="G26" s="54"/>
      <c r="H26" s="54"/>
      <c r="I26" s="54"/>
    </row>
  </sheetData>
  <mergeCells count="25">
    <mergeCell ref="K2:L2"/>
    <mergeCell ref="C12:D12"/>
    <mergeCell ref="C13:D13"/>
    <mergeCell ref="C14:D14"/>
    <mergeCell ref="C15:D15"/>
    <mergeCell ref="B7:C7"/>
    <mergeCell ref="C23:D23"/>
    <mergeCell ref="C24:D24"/>
    <mergeCell ref="C25:D25"/>
    <mergeCell ref="C26:D26"/>
    <mergeCell ref="C17:D17"/>
    <mergeCell ref="C18:D18"/>
    <mergeCell ref="C19:D19"/>
    <mergeCell ref="C20:D20"/>
    <mergeCell ref="C21:D21"/>
    <mergeCell ref="C22:D22"/>
    <mergeCell ref="C16:D16"/>
    <mergeCell ref="B2:I2"/>
    <mergeCell ref="C4:D4"/>
    <mergeCell ref="C5:D5"/>
    <mergeCell ref="C6:D6"/>
    <mergeCell ref="F9:H9"/>
    <mergeCell ref="I9:I10"/>
    <mergeCell ref="B10:D10"/>
    <mergeCell ref="C11:D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6209-6595-400A-A7A7-47A3647B5A38}">
  <sheetPr>
    <tabColor rgb="FF0070C0"/>
  </sheetPr>
  <dimension ref="B2:L26"/>
  <sheetViews>
    <sheetView workbookViewId="0">
      <selection activeCell="K2" sqref="K2:L2"/>
    </sheetView>
  </sheetViews>
  <sheetFormatPr defaultColWidth="11.42578125" defaultRowHeight="15"/>
  <cols>
    <col min="1" max="1" width="2.85546875" customWidth="1"/>
    <col min="2" max="2" width="4.5703125" customWidth="1"/>
    <col min="3" max="3" width="10.42578125" customWidth="1"/>
    <col min="4" max="4" width="122.140625" customWidth="1"/>
    <col min="5" max="5" width="4.28515625" customWidth="1"/>
    <col min="6" max="8" width="7.140625" customWidth="1"/>
    <col min="9" max="9" width="85.7109375" customWidth="1"/>
    <col min="11" max="11" width="14.5703125" bestFit="1" customWidth="1"/>
  </cols>
  <sheetData>
    <row r="2" spans="2:12" ht="21.75" customHeight="1">
      <c r="B2" s="253" t="s">
        <v>66</v>
      </c>
      <c r="C2" s="254"/>
      <c r="D2" s="254"/>
      <c r="E2" s="254"/>
      <c r="F2" s="254"/>
      <c r="G2" s="254"/>
      <c r="H2" s="254"/>
      <c r="I2" s="254"/>
      <c r="K2" s="353" t="s">
        <v>2</v>
      </c>
      <c r="L2" s="354"/>
    </row>
    <row r="3" spans="2:12" ht="15" customHeight="1">
      <c r="K3" s="54" t="s">
        <v>67</v>
      </c>
      <c r="L3" s="57">
        <f>COUNT(B12:D100)</f>
        <v>15</v>
      </c>
    </row>
    <row r="4" spans="2:12" ht="15.75">
      <c r="B4" s="17" t="s">
        <v>68</v>
      </c>
      <c r="C4" s="358" t="s">
        <v>69</v>
      </c>
      <c r="D4" s="358"/>
      <c r="E4" s="18"/>
      <c r="K4" s="54" t="s">
        <v>15</v>
      </c>
      <c r="L4" s="57">
        <f>COUNTIF(F12:F100,"X")</f>
        <v>0</v>
      </c>
    </row>
    <row r="5" spans="2:12" ht="15.75">
      <c r="B5" s="17" t="s">
        <v>70</v>
      </c>
      <c r="C5" s="358" t="s">
        <v>71</v>
      </c>
      <c r="D5" s="358"/>
      <c r="E5" s="18"/>
      <c r="K5" s="54" t="s">
        <v>74</v>
      </c>
      <c r="L5" s="57">
        <f>_xlfn.PERCENTOF(L4,L3)</f>
        <v>0</v>
      </c>
    </row>
    <row r="6" spans="2:12" ht="15.75">
      <c r="B6" s="17" t="s">
        <v>72</v>
      </c>
      <c r="C6" s="358" t="s">
        <v>73</v>
      </c>
      <c r="D6" s="358"/>
      <c r="E6" s="18"/>
    </row>
    <row r="7" spans="2:12" ht="15.75">
      <c r="B7" s="226" t="s">
        <v>75</v>
      </c>
      <c r="C7" s="226"/>
      <c r="D7" s="18" t="s">
        <v>76</v>
      </c>
      <c r="E7" s="18"/>
    </row>
    <row r="9" spans="2:12">
      <c r="F9" s="183" t="s">
        <v>77</v>
      </c>
      <c r="G9" s="184"/>
      <c r="H9" s="185"/>
      <c r="I9" s="186" t="s">
        <v>255</v>
      </c>
    </row>
    <row r="10" spans="2:12" ht="27" customHeight="1">
      <c r="B10" s="347" t="s">
        <v>517</v>
      </c>
      <c r="C10" s="348"/>
      <c r="D10" s="348"/>
      <c r="E10" s="16"/>
      <c r="F10" s="14" t="s">
        <v>68</v>
      </c>
      <c r="G10" s="15" t="s">
        <v>70</v>
      </c>
      <c r="H10" s="15" t="s">
        <v>72</v>
      </c>
      <c r="I10" s="186"/>
      <c r="J10" s="3"/>
    </row>
    <row r="11" spans="2:12" ht="11.25" customHeight="1">
      <c r="C11" s="364"/>
      <c r="D11" s="364"/>
    </row>
    <row r="12" spans="2:12" ht="18.75">
      <c r="B12" s="6">
        <v>1</v>
      </c>
      <c r="C12" s="306" t="s">
        <v>518</v>
      </c>
      <c r="D12" s="307"/>
      <c r="E12" s="2"/>
      <c r="F12" s="12"/>
      <c r="G12" s="12"/>
      <c r="H12" s="12"/>
      <c r="I12" s="9"/>
    </row>
    <row r="13" spans="2:12" ht="18.75">
      <c r="B13" s="8">
        <v>2</v>
      </c>
      <c r="C13" s="313" t="s">
        <v>519</v>
      </c>
      <c r="D13" s="314"/>
      <c r="E13" s="2"/>
      <c r="F13" s="12"/>
      <c r="G13" s="12"/>
      <c r="H13" s="12"/>
      <c r="I13" s="9"/>
    </row>
    <row r="14" spans="2:12" ht="18.75">
      <c r="B14" s="6">
        <v>3</v>
      </c>
      <c r="C14" s="306" t="s">
        <v>520</v>
      </c>
      <c r="D14" s="307"/>
      <c r="E14" s="2"/>
      <c r="F14" s="12"/>
      <c r="G14" s="12"/>
      <c r="H14" s="12"/>
      <c r="I14" s="9"/>
    </row>
    <row r="15" spans="2:12" ht="18.75">
      <c r="B15" s="6">
        <v>4</v>
      </c>
      <c r="C15" s="316" t="s">
        <v>521</v>
      </c>
      <c r="D15" s="317"/>
      <c r="E15" s="2"/>
      <c r="F15" s="12"/>
      <c r="G15" s="12"/>
      <c r="H15" s="12"/>
      <c r="I15" s="9"/>
    </row>
    <row r="16" spans="2:12" ht="18.75">
      <c r="B16" s="6">
        <v>5</v>
      </c>
      <c r="C16" s="306" t="s">
        <v>522</v>
      </c>
      <c r="D16" s="307"/>
      <c r="E16" s="2"/>
      <c r="F16" s="12"/>
      <c r="G16" s="12"/>
      <c r="H16" s="12"/>
      <c r="I16" s="9"/>
    </row>
    <row r="17" spans="2:9" ht="18.75">
      <c r="B17" s="5">
        <v>6</v>
      </c>
      <c r="C17" s="310" t="s">
        <v>523</v>
      </c>
      <c r="D17" s="311"/>
      <c r="E17" s="2"/>
      <c r="F17" s="12"/>
      <c r="G17" s="12"/>
      <c r="H17" s="12"/>
      <c r="I17" s="9"/>
    </row>
    <row r="18" spans="2:9" ht="18.75">
      <c r="B18" s="7">
        <v>7</v>
      </c>
      <c r="C18" s="306" t="s">
        <v>524</v>
      </c>
      <c r="D18" s="307"/>
      <c r="F18" s="12"/>
      <c r="G18" s="12"/>
      <c r="H18" s="12"/>
      <c r="I18" s="9"/>
    </row>
    <row r="19" spans="2:9" ht="18.75">
      <c r="B19" s="6">
        <v>8</v>
      </c>
      <c r="C19" s="306" t="s">
        <v>525</v>
      </c>
      <c r="D19" s="307"/>
      <c r="F19" s="12"/>
      <c r="G19" s="12"/>
      <c r="H19" s="12"/>
      <c r="I19" s="9"/>
    </row>
    <row r="20" spans="2:9" ht="18.75">
      <c r="B20" s="6">
        <v>9</v>
      </c>
      <c r="C20" s="306" t="s">
        <v>526</v>
      </c>
      <c r="D20" s="307"/>
      <c r="F20" s="12"/>
      <c r="G20" s="12"/>
      <c r="H20" s="12"/>
      <c r="I20" s="9"/>
    </row>
    <row r="21" spans="2:9" ht="18.75">
      <c r="B21" s="6">
        <v>10</v>
      </c>
      <c r="C21" s="308" t="s">
        <v>527</v>
      </c>
      <c r="D21" s="309"/>
      <c r="F21" s="11"/>
      <c r="G21" s="11"/>
      <c r="H21" s="11"/>
      <c r="I21" s="10"/>
    </row>
    <row r="22" spans="2:9" ht="18.75">
      <c r="B22" s="6">
        <v>11</v>
      </c>
      <c r="C22" s="351" t="s">
        <v>528</v>
      </c>
      <c r="D22" s="352"/>
      <c r="F22" s="12"/>
      <c r="G22" s="12"/>
      <c r="H22" s="12"/>
      <c r="I22" s="9"/>
    </row>
    <row r="23" spans="2:9" ht="18.75">
      <c r="B23" s="6">
        <v>12</v>
      </c>
      <c r="C23" s="349" t="s">
        <v>529</v>
      </c>
      <c r="D23" s="350"/>
      <c r="F23" s="12"/>
      <c r="G23" s="12"/>
      <c r="H23" s="12"/>
      <c r="I23" s="9"/>
    </row>
    <row r="24" spans="2:9" ht="18.75">
      <c r="B24" s="6">
        <v>13</v>
      </c>
      <c r="C24" s="316" t="s">
        <v>530</v>
      </c>
      <c r="D24" s="317"/>
      <c r="F24" s="12"/>
      <c r="G24" s="12"/>
      <c r="H24" s="12"/>
      <c r="I24" s="9"/>
    </row>
    <row r="25" spans="2:9" ht="18.75">
      <c r="B25" s="6">
        <v>14</v>
      </c>
      <c r="C25" s="316" t="s">
        <v>531</v>
      </c>
      <c r="D25" s="317"/>
      <c r="F25" s="11"/>
      <c r="G25" s="11"/>
      <c r="H25" s="11"/>
      <c r="I25" s="10"/>
    </row>
    <row r="26" spans="2:9" ht="18.75">
      <c r="B26" s="6">
        <v>15</v>
      </c>
      <c r="C26" s="316" t="s">
        <v>532</v>
      </c>
      <c r="D26" s="317"/>
      <c r="F26" s="54"/>
      <c r="G26" s="54"/>
      <c r="H26" s="54"/>
      <c r="I26" s="54"/>
    </row>
  </sheetData>
  <mergeCells count="25">
    <mergeCell ref="K2:L2"/>
    <mergeCell ref="C12:D12"/>
    <mergeCell ref="C13:D13"/>
    <mergeCell ref="C14:D14"/>
    <mergeCell ref="C15:D15"/>
    <mergeCell ref="B7:C7"/>
    <mergeCell ref="C23:D23"/>
    <mergeCell ref="C24:D24"/>
    <mergeCell ref="C25:D25"/>
    <mergeCell ref="C26:D26"/>
    <mergeCell ref="C17:D17"/>
    <mergeCell ref="C18:D18"/>
    <mergeCell ref="C19:D19"/>
    <mergeCell ref="C20:D20"/>
    <mergeCell ref="C21:D21"/>
    <mergeCell ref="C22:D22"/>
    <mergeCell ref="C16:D16"/>
    <mergeCell ref="B2:I2"/>
    <mergeCell ref="C4:D4"/>
    <mergeCell ref="C5:D5"/>
    <mergeCell ref="C6:D6"/>
    <mergeCell ref="F9:H9"/>
    <mergeCell ref="I9:I10"/>
    <mergeCell ref="B10:D10"/>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dc:creator>
  <cp:keywords/>
  <dc:description/>
  <cp:lastModifiedBy/>
  <cp:revision/>
  <dcterms:created xsi:type="dcterms:W3CDTF">2023-07-01T11:34:04Z</dcterms:created>
  <dcterms:modified xsi:type="dcterms:W3CDTF">2026-02-26T20:53:53Z</dcterms:modified>
  <cp:category/>
  <cp:contentStatus/>
</cp:coreProperties>
</file>