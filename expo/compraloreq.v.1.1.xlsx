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77.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ce" sheetId="1" r:id="rId4"/>
    <sheet state="visible" name="Estadisticas" sheetId="2" r:id="rId5"/>
    <sheet state="visible" name="Funcionales generales" sheetId="3" r:id="rId6"/>
    <sheet state="visible" name="No-funcionales generales" sheetId="4" r:id="rId7"/>
    <sheet state="visible" name="Funcionales DB" sheetId="5" r:id="rId8"/>
    <sheet state="visible" name="No-funcionales DB" sheetId="6" r:id="rId9"/>
    <sheet state="visible" name="Funcionales Homepage" sheetId="7" r:id="rId10"/>
    <sheet state="visible" name="No-funcionales Homepage" sheetId="8" r:id="rId11"/>
    <sheet state="visible" name="Funcionales Productos" sheetId="9" r:id="rId12"/>
    <sheet state="visible" name="No-funcionales Productos" sheetId="10" r:id="rId13"/>
    <sheet state="visible" name="Funcionales Categoria" sheetId="11" r:id="rId14"/>
    <sheet state="visible" name="No-funcionales Categoria" sheetId="12" r:id="rId15"/>
    <sheet state="visible" name="Funcionales Descuentos" sheetId="13" r:id="rId16"/>
    <sheet state="visible" name="No-funcionales Descuentos" sheetId="14" r:id="rId17"/>
    <sheet state="visible" name="Funcionales Cookies" sheetId="15" r:id="rId18"/>
    <sheet state="visible" name="No-funcionales Cookies" sheetId="16" r:id="rId19"/>
    <sheet state="visible" name="Funcionales Politicas" sheetId="17" r:id="rId20"/>
    <sheet state="visible" name="No-funcionales Politicas" sheetId="18" r:id="rId21"/>
    <sheet state="visible" name="Funcionales Terminos condicione" sheetId="19" r:id="rId22"/>
    <sheet state="visible" name="No-funcionales Terminos Condici" sheetId="20" r:id="rId23"/>
    <sheet state="visible" name="Funcionales Perfil" sheetId="21" r:id="rId24"/>
    <sheet state="visible" name="No-funcionales Perfil" sheetId="22" r:id="rId25"/>
    <sheet state="visible" name="Funcionales Contacto" sheetId="23" r:id="rId26"/>
    <sheet state="visible" name="No-funcionales Contacto" sheetId="24" r:id="rId27"/>
    <sheet state="visible" name="Funcionales Seguimiento" sheetId="25" r:id="rId28"/>
    <sheet state="visible" name="No-Funcionales Seguimiento" sheetId="26" r:id="rId29"/>
    <sheet state="visible" name="Funcionales Inversionistas" sheetId="27" r:id="rId30"/>
    <sheet state="visible" name="No-funcionales Inversionistas" sheetId="28" r:id="rId31"/>
    <sheet state="visible" name="Funcionales Devoluciones" sheetId="29" r:id="rId32"/>
    <sheet state="visible" name="No-funcionales Devoluciones" sheetId="30" r:id="rId33"/>
    <sheet state="visible" name="Funcionales Ayuda" sheetId="31" r:id="rId34"/>
    <sheet state="visible" name="No-funcionales Ayuda" sheetId="32" r:id="rId35"/>
    <sheet state="visible" name="Funcionales Prensa" sheetId="33" r:id="rId36"/>
    <sheet state="visible" name="No-funcionales Prensa" sheetId="34" r:id="rId37"/>
    <sheet state="visible" name="Funcionales Acerca de" sheetId="35" r:id="rId38"/>
    <sheet state="visible" name="No-funcionales Acerca de" sheetId="36" r:id="rId39"/>
    <sheet state="visible" name="Funcionales chatbotInformativo" sheetId="37" r:id="rId40"/>
    <sheet state="visible" name="No-funcionales chatbotInformati" sheetId="38" r:id="rId41"/>
    <sheet state="visible" name="Funcionales LoginRegister" sheetId="39" r:id="rId42"/>
    <sheet state="visible" name="No-funcionales LoginRegister" sheetId="40" r:id="rId43"/>
    <sheet state="visible" name="Funcionales Producto" sheetId="41" r:id="rId44"/>
    <sheet state="visible" name="No-funcionales Producto" sheetId="42" r:id="rId45"/>
    <sheet state="visible" name="input_req" sheetId="43" r:id="rId46"/>
    <sheet state="visible" name="Funcionales Carrito" sheetId="44" r:id="rId47"/>
    <sheet state="visible" name="No-funcionales Carrito" sheetId="45" r:id="rId48"/>
    <sheet state="visible" name="Funcionales Checkout" sheetId="46" r:id="rId49"/>
    <sheet state="visible" name="No-funcionales Checkout " sheetId="47" r:id="rId50"/>
    <sheet state="visible" name="Funcionales Favoritos" sheetId="48" r:id="rId51"/>
    <sheet state="visible" name="No-funcionales Favoritos" sheetId="49" r:id="rId52"/>
    <sheet state="visible" name="Funcionales Dashboard Admin" sheetId="50" r:id="rId53"/>
    <sheet state="visible" name="No-funcionales Dashboard Admin" sheetId="51" r:id="rId54"/>
    <sheet state="visible" name="Funcionales Ordenes admin" sheetId="52" r:id="rId55"/>
    <sheet state="visible" name="No-funcionales Ordenes admin" sheetId="53" r:id="rId56"/>
    <sheet state="visible" name="Funcionales Productos Admin" sheetId="54" r:id="rId57"/>
    <sheet state="visible" name="No-funcionales Productos Admin " sheetId="55" r:id="rId58"/>
    <sheet state="visible" name="Funcionales Categorías Admin" sheetId="56" r:id="rId59"/>
    <sheet state="visible" name="No-funcionales Categorias Admin" sheetId="57" r:id="rId60"/>
    <sheet state="visible" name="Funcionales Usuario Admin" sheetId="58" r:id="rId61"/>
    <sheet state="visible" name="No-funcionales Usuarios Admin" sheetId="59" r:id="rId62"/>
    <sheet state="visible" name="Funcionales Atributos" sheetId="60" r:id="rId63"/>
    <sheet state="visible" name="No-funcionales Atributos" sheetId="61" r:id="rId64"/>
    <sheet state="visible" name="Funcionales Marcas" sheetId="62" r:id="rId65"/>
    <sheet state="visible" name="No-funcionales Marcas " sheetId="63" r:id="rId66"/>
    <sheet state="visible" name="Funcionales Proveedores Admin" sheetId="64" r:id="rId67"/>
    <sheet state="visible" name="No-funcionales Proveedores Admi" sheetId="65" r:id="rId68"/>
    <sheet state="visible" name="Funcionales Descuentos Admin" sheetId="66" r:id="rId69"/>
    <sheet state="visible" name="No-funcionales Descuentos Admin" sheetId="67" r:id="rId70"/>
    <sheet state="visible" name="Funcionales Puntos Admin" sheetId="68" r:id="rId71"/>
    <sheet state="visible" name="No-funcionales Puntos Admin" sheetId="69" r:id="rId72"/>
    <sheet state="visible" name="Funcionales barra informativa " sheetId="70" r:id="rId73"/>
    <sheet state="visible" name="No-funcionales barra informativ" sheetId="71" r:id="rId74"/>
    <sheet state="visible" name="Funcionales analiticas" sheetId="72" r:id="rId75"/>
    <sheet state="visible" name="No-funcionales analiticas" sheetId="73" r:id="rId76"/>
    <sheet state="visible" name="Funcionales Bot-Admin" sheetId="74" r:id="rId77"/>
    <sheet state="visible" name="No-funcionales Bot-Admin" sheetId="75" r:id="rId78"/>
    <sheet state="visible" name="Funcionales Boton Ayuda" sheetId="76" r:id="rId79"/>
    <sheet state="visible" name="No-funcionales Boton Ayuda" sheetId="77" r:id="rId80"/>
  </sheets>
  <definedNames>
    <definedName hidden="1" localSheetId="0" name="_xlnm._FilterDatabase">Indice!$A$1:$C$75</definedName>
  </definedNames>
  <calcPr/>
  <extLst>
    <ext uri="GoogleSheetsCustomDataVersion2">
      <go:sheetsCustomData xmlns:go="http://customooxmlschemas.google.com/" r:id="rId81" roundtripDataChecksum="KGULZsbK8siTAxV2QqMxgM9HL6+e2hk69XwiSIjV8M4="/>
    </ext>
  </extLst>
</workbook>
</file>

<file path=xl/sharedStrings.xml><?xml version="1.0" encoding="utf-8"?>
<sst xmlns="http://schemas.openxmlformats.org/spreadsheetml/2006/main" count="4899" uniqueCount="1534">
  <si>
    <t>Nombre de la Hoja</t>
  </si>
  <si>
    <t>Categoría</t>
  </si>
  <si>
    <t>Ubicación</t>
  </si>
  <si>
    <t>(Todas)</t>
  </si>
  <si>
    <t>Estadisticas</t>
  </si>
  <si>
    <t>Otros</t>
  </si>
  <si>
    <t>Ir a la hoja →</t>
  </si>
  <si>
    <t xml:space="preserve">https://compralo.revital.cloud/ </t>
  </si>
  <si>
    <t>Funcionales generales</t>
  </si>
  <si>
    <t>Funcionales</t>
  </si>
  <si>
    <t>Etiquetas de fila</t>
  </si>
  <si>
    <t>No-funcionales generales</t>
  </si>
  <si>
    <t>No-funcionales</t>
  </si>
  <si>
    <t>Funcionales DB</t>
  </si>
  <si>
    <t>Credenciales Server</t>
  </si>
  <si>
    <t>No-funcionales DB</t>
  </si>
  <si>
    <t>Funcionales Acerca de</t>
  </si>
  <si>
    <t>IP:</t>
  </si>
  <si>
    <t>46.225.94.64</t>
  </si>
  <si>
    <t>Funcionales Homepage</t>
  </si>
  <si>
    <t>user</t>
  </si>
  <si>
    <t>tester</t>
  </si>
  <si>
    <t>No-funcionales Homepage</t>
  </si>
  <si>
    <t>Funcionales Atributos</t>
  </si>
  <si>
    <t xml:space="preserve">psw </t>
  </si>
  <si>
    <t>tS!@D26fBQfw*N8</t>
  </si>
  <si>
    <t>Funcionales Productos</t>
  </si>
  <si>
    <t xml:space="preserve">ssh </t>
  </si>
  <si>
    <t>tester@46.225.94.64</t>
  </si>
  <si>
    <t>No-funcionales Productos</t>
  </si>
  <si>
    <t>Funcionales Ayuda</t>
  </si>
  <si>
    <t>Funcionales Categoria</t>
  </si>
  <si>
    <t>Credenciales PGADMIN</t>
  </si>
  <si>
    <t>No-funcionales Categoria</t>
  </si>
  <si>
    <t xml:space="preserve">Funcionales barra informativa </t>
  </si>
  <si>
    <t>DB</t>
  </si>
  <si>
    <t>revital_ecommerce</t>
  </si>
  <si>
    <t>Funcionales Descuentos</t>
  </si>
  <si>
    <t>synkro_admin</t>
  </si>
  <si>
    <t>No-funcionales Descuentos</t>
  </si>
  <si>
    <t>Funcionales Bot-Admin</t>
  </si>
  <si>
    <t>password</t>
  </si>
  <si>
    <t>synkro_admin_pwd</t>
  </si>
  <si>
    <t>Funcionales Cookies</t>
  </si>
  <si>
    <t>No-funcionales Cookies</t>
  </si>
  <si>
    <t>Funcionales Boton Ayuda</t>
  </si>
  <si>
    <t>Credenciales Software</t>
  </si>
  <si>
    <t>Funcionales Politicas</t>
  </si>
  <si>
    <t>Admin</t>
  </si>
  <si>
    <t>usuario</t>
  </si>
  <si>
    <t>ahernandezlara03@gmail.com</t>
  </si>
  <si>
    <t>No-funcionales Politicas</t>
  </si>
  <si>
    <t>Funcionales Carrito</t>
  </si>
  <si>
    <t>contraseña</t>
  </si>
  <si>
    <t>Alejandro03*</t>
  </si>
  <si>
    <t>Funcionales Terminos condicione</t>
  </si>
  <si>
    <t>Usuario</t>
  </si>
  <si>
    <t>Debe ser creado</t>
  </si>
  <si>
    <t>No-funcionales Terminos Condici</t>
  </si>
  <si>
    <t>Funcionales Perfil</t>
  </si>
  <si>
    <t>No-funcionales Perfil</t>
  </si>
  <si>
    <t>Funcionales Categorías Admin</t>
  </si>
  <si>
    <t>Datos de Prueba Pagos Wompi</t>
  </si>
  <si>
    <t>Funcionales Contacto</t>
  </si>
  <si>
    <t>Nequi</t>
  </si>
  <si>
    <t>No-funcionales Contacto</t>
  </si>
  <si>
    <t>Funcionales chatbotInformativo</t>
  </si>
  <si>
    <t>Tarjetas Bancolombia - Aprobado</t>
  </si>
  <si>
    <t>4242 4242 4242 4242</t>
  </si>
  <si>
    <t>Funcionales Seguimiento</t>
  </si>
  <si>
    <t>Tarjetas Bancolombia - Declinado</t>
  </si>
  <si>
    <t>4111 1111 1111 1111</t>
  </si>
  <si>
    <t>No-Funcionales Seguimiento</t>
  </si>
  <si>
    <t>Funcionales Checkout</t>
  </si>
  <si>
    <t>Funcionales Inversionistas</t>
  </si>
  <si>
    <t>No-funcionales Inversionistas</t>
  </si>
  <si>
    <t>Funcionales Devoluciones</t>
  </si>
  <si>
    <t>No-funcionales Devoluciones</t>
  </si>
  <si>
    <t>No-funcionales Ayuda</t>
  </si>
  <si>
    <t>Funcionales Dashboard Admin</t>
  </si>
  <si>
    <t>Funcionales Prensa</t>
  </si>
  <si>
    <t>No-funcionales Prensa</t>
  </si>
  <si>
    <t>No-funcionales Acerca de</t>
  </si>
  <si>
    <t>No-funcionales chatbotInformati</t>
  </si>
  <si>
    <t>Funcionales Descuentos Admin</t>
  </si>
  <si>
    <t>Funcionales LoginRegister</t>
  </si>
  <si>
    <t>No-funcionales LoginRegister</t>
  </si>
  <si>
    <t>Funcionales Producto</t>
  </si>
  <si>
    <t>No-funcionales Producto</t>
  </si>
  <si>
    <t>Funcionales Favoritos</t>
  </si>
  <si>
    <t>input_req</t>
  </si>
  <si>
    <t>No-funcionales Carrito</t>
  </si>
  <si>
    <t xml:space="preserve">No-funcionales Checkout </t>
  </si>
  <si>
    <t>No-funcionales Favoritos</t>
  </si>
  <si>
    <t>No-funcionales Dashboard Admin</t>
  </si>
  <si>
    <t>Funcionales Ordenes admin</t>
  </si>
  <si>
    <t>Funcionales Marcas</t>
  </si>
  <si>
    <t>No-funcionales Ordenes admin</t>
  </si>
  <si>
    <t>Funcionales Productos Admin</t>
  </si>
  <si>
    <t xml:space="preserve">No-funcionales Productos Admin </t>
  </si>
  <si>
    <t>No-funcionales Categorias Admin</t>
  </si>
  <si>
    <t>camilo</t>
  </si>
  <si>
    <t>Funcionales Usuario Admin</t>
  </si>
  <si>
    <t>No-funcionales Usuarios Admin</t>
  </si>
  <si>
    <t>No-funcionales Atributos</t>
  </si>
  <si>
    <t xml:space="preserve">No-funcionales Marcas </t>
  </si>
  <si>
    <t>Funcionales Proveedores Admin</t>
  </si>
  <si>
    <t>No-funcionales Proveedores Admi</t>
  </si>
  <si>
    <t>No-funcionales Descuentos Admin</t>
  </si>
  <si>
    <t>Funcionales Puntos Admin</t>
  </si>
  <si>
    <t>No-funcionales Puntos Admin</t>
  </si>
  <si>
    <t>No funcionales barra informativ</t>
  </si>
  <si>
    <t>No-funcionales Bot-Admin</t>
  </si>
  <si>
    <t>No-funcionales Boton Ayuda</t>
  </si>
  <si>
    <t>Total general</t>
  </si>
  <si>
    <t>Métrica</t>
  </si>
  <si>
    <t>Valor</t>
  </si>
  <si>
    <t>Cant. Requerimientos Funcionales</t>
  </si>
  <si>
    <t>Cant. Requerimientos No-funcionales</t>
  </si>
  <si>
    <t>Total Requerimientos</t>
  </si>
  <si>
    <t>Cant. Funcionales Cumplidos</t>
  </si>
  <si>
    <t>Cant. No-funcionales Cumplidos</t>
  </si>
  <si>
    <t>Total Cumplidos</t>
  </si>
  <si>
    <t>Porcentaje de Cumplimiento</t>
  </si>
  <si>
    <t>LISTADO DE REQUERIMIENTOS DE COMPRALO</t>
  </si>
  <si>
    <t>ESTADISTICAS</t>
  </si>
  <si>
    <t>Requirimientos</t>
  </si>
  <si>
    <t>SI</t>
  </si>
  <si>
    <t>Marque con una equis (X) si el sistema cumple con la función descrita</t>
  </si>
  <si>
    <t>Cumplidos</t>
  </si>
  <si>
    <t>NO</t>
  </si>
  <si>
    <t>Marque con una equis (X) si el sistema no cumple con la función descrita</t>
  </si>
  <si>
    <t>ADI</t>
  </si>
  <si>
    <t>Marque con una equis (X) si el sistema debe adicionar la función descrita</t>
  </si>
  <si>
    <t>Porcentaje</t>
  </si>
  <si>
    <t>Observaciones:</t>
  </si>
  <si>
    <t>Espacio para complementar respuestas</t>
  </si>
  <si>
    <t>Nivel de cumplimiento</t>
  </si>
  <si>
    <t>OBSERVACIONES</t>
  </si>
  <si>
    <t>REQUISITOS FUNCIONALES GENERALES</t>
  </si>
  <si>
    <t>El sistema debe garantizar la seguridad de los datos almacenados mediante contraseñas, autenticación basada en JWT y control de acceso por roles (admin, usuario)</t>
  </si>
  <si>
    <t>x</t>
  </si>
  <si>
    <t>El sistema debe permitir el manejo de datos personales por medio de cookies</t>
  </si>
  <si>
    <t>El sistema debe estar disponible 24/7 con un tiempo de actividad mínimo del 99%</t>
  </si>
  <si>
    <t>El sistema es multiusuario con roles diferenciados (administradores y clientes, clientes anonimos)</t>
  </si>
  <si>
    <t>El sistema debe ser compatible con navegadores modernos Chrome, Firefox, Safari, Edge</t>
  </si>
  <si>
    <t>El sistema debe permitir la encripción de contraseñas</t>
  </si>
  <si>
    <t>El sistema debe cumplir con normativas de protección de datos GDPR/LGPD</t>
  </si>
  <si>
    <t>El sistema debe soportar dispositivos móviles y tablets responsivamente</t>
  </si>
  <si>
    <t>El sistema debe permitir gestionar un catálogo de productos con jerarquía categoría → línea → sublínea, marcas, proveedores y variantes (color/talla/atributos).</t>
  </si>
  <si>
    <t>El sistema debe permitir gestionar inventario (entradas, salidas, ajustes y movimientos por producto/variante).</t>
  </si>
  <si>
    <t>El sistema debe incluir herramientas de accesibilidad</t>
  </si>
  <si>
    <t>El sistema debe permitir que el cliente final navegue el catálogo, filtre por múltiples criterios (categoría, precio, marca, proveedor, texto libre) y ordene los resultados.</t>
  </si>
  <si>
    <t>El sistema debe ofrecer un carrito de compras que funcione tanto para usuarios anónimos (session_id) como autenticados, con migración automática de carrito al iniciar sesión.</t>
  </si>
  <si>
    <t>El sistema debe integrar una pasarela de pagos (Wompi) para procesar pagos con tarjeta/PSE, incluyendo manejo de redirecciones y resultado del pago.</t>
  </si>
  <si>
    <t>El sistema debe recibir y procesar webhooks de la pasarela de pagos para actualizar el estado de las órdenes de manera asíncrona y segura.</t>
  </si>
  <si>
    <t>El sistema debe permitir gestionar descuentos generales y por usuario (cupones, reglas, límites de uso, fecha de vigencia).</t>
  </si>
  <si>
    <t>El sistema debe implementar un sistema de puntos que acumule puntos por compra según una configuración empresarial y permita canjearlos por descuentos.</t>
  </si>
  <si>
    <t>El sistema debe permitir a los usuarios marcar productos como favoritos y gestionarlos (añadir/eliminar, ver listado).</t>
  </si>
  <si>
    <t>El sistema debe permitir la gestión de direcciones de envío por usuario (crear, editar, eliminar, seleccionar en checkout).</t>
  </si>
  <si>
    <t>El sistema debe enviar correos electrónicos transaccionales (registro, confirmación de pedido, recuperación/restablecimiento de contraseña) usando un servicio externo (Resend).</t>
  </si>
  <si>
    <t>El sistema debe ofrecer un panel administrativo para gestionar productos, categorías, líneas, sublíneas, marcas, proveedores, usuarios, descuentos, puntos, órdenes y contenido CMS.</t>
  </si>
  <si>
    <t>El sistema debe ofrecer dashboards y métricas básicas de negocio (ventas por período, productos más vendidos, resumen de puntos, KPIs de órdenes).</t>
  </si>
  <si>
    <t>El sistema debe proporcionar un asistente de administración basado en IA que permita a los administradores consultar métricas y ejecutar acciones guiadas desde el dashboard.</t>
  </si>
  <si>
    <t>El sistema debe proporcionar un chatbot informativo en la tienda que explique condiciones legales, descuentos y programa de puntos de forma guiada.</t>
  </si>
  <si>
    <t>El sistema debe permitir configurar y mostrar banners informativos (barra superior) adaptados a cada instancia (ej. promociones, avisos legales).</t>
  </si>
  <si>
    <t>El sistema debe permitir programar descuentos y campañas con fecha/hora de inicio y fin, aplicadas automáticamente.</t>
  </si>
  <si>
    <t>REQUISITOS NO FUNCIONALES GENERALES</t>
  </si>
  <si>
    <t>El sistema debe garantizar la seguridad de los datos almacenados mediante encriptación de contraseñas, autenticación basada en JWT y control de acceso por roles (admin, usuario)</t>
  </si>
  <si>
    <t>X</t>
  </si>
  <si>
    <t>El sistema debe validar que todos los datos de entrada (productos, usuarios, proveedores,etc) estén completos mediante esquemas Pydantic y mostrar mensajes de error específicos para campos faltantes o inválidos</t>
  </si>
  <si>
    <t>El sistema debe ser capaz de escalar horizontalmente para adaptarse al crecimiento de usuarios y productos sin afectar el rendimiento mediante pooling de conexiones y cache</t>
  </si>
  <si>
    <t xml:space="preserve">
La base de datos PostgreSQL debe permitir respaldos automáticos, gestión de transacciones ACID y optimización de consultas</t>
  </si>
  <si>
    <t>El sistema debe integrar con servicios externos de pagos (futuro) y notificaciones mediante APIs REST</t>
  </si>
  <si>
    <t>El sistema debe tener un tiempo máximo de respuesta de 2 segundos para operaciones CRUD de productos, usuarios y proveedores</t>
  </si>
  <si>
    <t>Los permisos de acceso al sistema podrán ser gestionados solo por usuarios con rol de administrador</t>
  </si>
  <si>
    <t xml:space="preserve"> Ningún log debe contener contraseñas, tokens, números completos de tarjeta u otra información altamente sensible.</t>
  </si>
  <si>
    <t xml:space="preserve">
El sistema debe utilizar PostgreSQL como motor de base de datos con funciones almacenadas para operaciones complejas</t>
  </si>
  <si>
    <t>El sistema debe contar con documentación API automática generada por FastAPI (Swagger/OpenAPI) y manuales de usuario</t>
  </si>
  <si>
    <t>El sistema debe procesar al menos 100 transacciones por segundo bajo carga normal</t>
  </si>
  <si>
    <t>El sistema debe manejar errores de forma centralizada con logging estructurado y códigos de estado HTTP apropiados</t>
  </si>
  <si>
    <t>El sistema debe mantener sesiones de usuario por 24 horas con renovación automática</t>
  </si>
  <si>
    <t>El sistema debe encriptar contraseñas usando algoritmos argon2 o similares</t>
  </si>
  <si>
    <t>El sistema debe implementar rate limiting para prevenir ataques DDoS</t>
  </si>
  <si>
    <t>La búsqueda de productos debe responder en menos de 300ms</t>
  </si>
  <si>
    <t>El carrito debe calcular totales en menos de 100ms</t>
  </si>
  <si>
    <t>Los filtros de productos deben responder en menos de 200ms</t>
  </si>
  <si>
    <t>El sistema debe implementar lazy loading para mejorar velocidad inicial</t>
  </si>
  <si>
    <t>Las APIs deben responder en menos de 500ms para operaciones CRUD</t>
  </si>
  <si>
    <t xml:space="preserve">
El sistema debe cargar cualquier página en menos de 3 segundos</t>
  </si>
  <si>
    <t>Debe soportar hasta 1 millón de productos en catálogo</t>
  </si>
  <si>
    <t>Todas las comunicaciones deben usar HTTPS/TLS 1.3</t>
  </si>
  <si>
    <t>Implementar CSRF protection en formularios</t>
  </si>
  <si>
    <t>Validación y sanitización de todas las entradas</t>
  </si>
  <si>
    <t>Formularios deben validarse en tiempo real</t>
  </si>
  <si>
    <t>Mensajes de error deben ser claros y accionables</t>
  </si>
  <si>
    <t>Documentación técnica debe actualizarse automáticamente</t>
  </si>
  <si>
    <t>Logs estructurados para debugging eficiente</t>
  </si>
  <si>
    <t>Política de privacidad actualizada y accesible</t>
  </si>
  <si>
    <t>Soporte para formatos de datos estándar (JSON, XML)</t>
  </si>
  <si>
    <t>Compresión automática de respuestas HTTP</t>
  </si>
  <si>
    <t>Soporte para caracteres Unicode (UTF-8)</t>
  </si>
  <si>
    <t>REQUISITOS FUNCIONALES DB</t>
  </si>
  <si>
    <t>La tabla tab_products no debe almacenar precio ni stock; estos datos deben residir únicamente en tab_product_variant_combinations.</t>
  </si>
  <si>
    <t>Requerimientos no funcionales</t>
  </si>
  <si>
    <t>La base de datos debe permitir gestionar variantes mediante el modelo tab_product_variant_groups (agrupación lógica, p. ej. color) y tab_product_variant_combinations (combinación concreta de atributos).</t>
  </si>
  <si>
    <t>Cada registro de tab_product_variant_combinations debe estar asociado a un grupo válido en tab_product_variant_groups mediante group_id.</t>
  </si>
  <si>
    <t>Cada grupo de variantes (tab_product_variant_groups) puede tener múltiples imágenes (tab_product_variant_images) con orden y marca de principal (is_main).</t>
  </si>
  <si>
    <t>La función fun_insert_producto debe crear productos en tab_products garantizando slug único y consistencia con categorías, marcas y proveedores.</t>
  </si>
  <si>
    <t xml:space="preserve">La función fun_insert_product_variant debe insertar combinaciones en tab_product_variant_combinations generando un SKU único con fun_generate_sku y respetando </t>
  </si>
  <si>
    <t>La función fun_insert_product_image debe registrar imágenes en tab_product_variant_images y asegurar que exista siempre una imagen principal por producto/grupo (o un valor por defecto).</t>
  </si>
  <si>
    <t>Las funciones de filtro (fun_filter_products, fun_filter_admin_products, funciones de favoritos, etc.) deben obtener precios, stock total e imagen principal a partir de tab_product_variant_combinations + tab_product_variant_groups + tab_product_variant_images.</t>
  </si>
  <si>
    <t>tab_carrito_productos y tab_orden_productos deben referenciar siempre una combinación válida mediante variant_id (tab_product_variant_combinations.id).</t>
  </si>
  <si>
    <t>Las columnas opciones_elegidas en tab_carrito_productos y tab_orden_productos deben almacenar en JSONB los atributos elegidos (color, talla, etc.) coherentes con tab_product_variant_combinations.attributes.</t>
  </si>
  <si>
    <t>La función fun_obtener_carrito_usuario debe crear o recuperar un carrito único por usuario o session_id, garantizando que no existan carritos duplicados activos por la misma clave.</t>
  </si>
  <si>
    <t>La función fun_agregar_producto_carrito debe validar existencia y estado (is_active) de la combinación, verificar stock disponible y actualizar/incrementar la línea en tab_carrito_productos con sus opciones_elegidas.</t>
  </si>
  <si>
    <t>La función fun_calcular_total_carrito debe calcular subtotal, descuentos aplicados, valor de puntos a acumular y totales finales usando precios de tab_product_variant_combinations y reglas de descuentos/puntos.</t>
  </si>
  <si>
    <t>La función fun_crear_orden_desde_carrito debe crear la cabecera en tab_ordenes, transferir las líneas de tab_carrito_productos a tab_orden_productos (incluyendo variant_id y opciones_elegidas), registrar movimientos de stock en tab_movimientos_inventario y registrar canjes/puntos correspondientes.</t>
  </si>
  <si>
    <t>La función fun_migrar_carrito_anonimo_a_usuario debe reasignar líneas de tab_carrito_productos de un session_id anónimo a un id_usuario, recalculando precios desde tab_product_variant_combinations cuando sea necesario.</t>
  </si>
  <si>
    <t>Las funciones de pagos (fun_crear_pago, fun_actualizar_pago, fun_marcar_orden_pagada) deben mantener siempre sincronizados el estado de tab_pagos y tab_ordenes.ind_estado.</t>
  </si>
  <si>
    <t>La función fun_validar_descuento_aplicable debe evaluar reglas de tab_descuentos (fechas, límites, tipo de cálculo, relación con categoría/producto/usuario) y registrar su uso mediante fun_registrar_uso_descuento.</t>
  </si>
  <si>
    <t>Las funciones de puntos (fun_calcular_puntos_por_compra, fun_acumular_puntos_por_compra, fun_canjear_puntos_descuento, fun_aplicar_canje_orden) deben mantener la consistencia entre tab_puntos_usuario, tab_movimientos_puntos y tab_canjes_puntos_descuentos.</t>
  </si>
  <si>
    <t>No debe ser posible que un canje en tab_canjes_puntos_descuentos quede aplicado a más de una orden ni que un mismo movimiento de puntos se duplique para la misma orden.</t>
  </si>
  <si>
    <t>La base de datos debe impedir que se elimine un producto si tiene referencias activas en tab_carrito_productos, tab_orden_productos, tab_movimientos_inventario o tablas de estadísticas, salvo mediante procesos controlados de borrado lógico.</t>
  </si>
  <si>
    <t>La base de datos debe impedir que se eliminen combinaciones en tab_product_variant_combinations que estén referenciadas en carrito, órdenes o movimientos de inventario.</t>
  </si>
  <si>
    <t>Todas las tablas de negocio principales (tab_products, tab_product_variant_groups, tab_product_variant_combinations, tab_carritos, tab_ordenes, tab_pagos, tab_descuentos, tab_puntos_usuario, etc.) deben tener campos de auditoría (usr_insert, fec_insert, usr_update, fec_update).</t>
  </si>
  <si>
    <t>Los triggers de auditoría deben registrar inserciones, actualizaciones y eliminaciones en tablas críticas de catálogo y variantes (tab_product_variant_groups, tab_product_variant_combinations, etc.).</t>
  </si>
  <si>
    <t>Toda actualización de tab_ordenes.ind_estado a un estado final (completada, cancelada, etc.) debe ir acompañada de movimientos consistentes en tab_movimientos_inventario y tab_movimientos_puntos según la lógica de negocio.</t>
  </si>
  <si>
    <t>REQUISITOS NO FUNCIONALES DB</t>
  </si>
  <si>
    <t>La base de datos debe mantener integridad referencial entre todas las tablas mediante claves foráneas, incluyendo la nueva relación producto → grupo → combinación → carrito/orden.</t>
  </si>
  <si>
    <t>Las transacciones que involucren carrito, órdenes, pagos, inventario, descuentos y puntos deben ser ACID: o se confirman todos los cambios o se revierte todo.</t>
  </si>
  <si>
    <t>Los cambios de estado de una orden deben ser atómicos respecto a las actualizaciones de stock y puntos.</t>
  </si>
  <si>
    <t>Las consultas de catálogo que usan fun_filter_products y fun_filter_admin_products sobre tab_products + tab_product_variant_groups + tab_product_variant_combinations deben devolver resultados paginados en tiempos aceptables (por ejemplo, &lt; 300 ms para catálogos de hasta ~10.000 productos).</t>
  </si>
  <si>
    <t>Las consultas que calculan precios mínimos/máximos y stock total por producto a partir de tab_product_variant_combinations deben aprovechar índices y evitar escaneos completos innecesarios.</t>
  </si>
  <si>
    <t>La recuperación del carrito (fun_obtener_carrito_detalle) y el cálculo de totales (fun_calcular_total_carrito) deben ejecutarse típicamente en menos de ~200 ms para carritos de tamaño razonable.</t>
  </si>
  <si>
    <t>La creación de una orden desde carrito (fun_crear_orden_desde_carrito) debe completarse en un tiempo acotado (p.ej. &lt; 1 segundo en condiciones normales), incluyendo inserciones en órdenes, líneas y movimientos de inventario.</t>
  </si>
  <si>
    <t>Las consultas de historial de órdenes (fun_obtener_ordenes_usuario) y de puntos (fun_obtener_resumen_puntos_usuario) deben soportar miles de registros por usuario manteniendo tiempos de respuesta aceptables (p.ej. &lt; 500 ms).</t>
  </si>
  <si>
    <t>Los reportes de ventas por producto/categoría (tab_estadisticas_productos, tab_estadisticas_categorias y vistas/funciones asociadas) deben apoyarse en índices o tablas resumen para no degradar el rendimiento de las tablas transaccionales.</t>
  </si>
  <si>
    <t>Deben existir índices sobre columnas de filtrado frecuente: tab_product_variant_groups.product_id, tab_product_variant_combinations.group_id, tab_product_variant_combinations.is_active, slugs de categorías/productos y campos de búsqueda por texto.</t>
  </si>
  <si>
    <t>El índice GIN sobre tab_product_variant_combinations.attributes debe ser utilizado por las consultas que filtren por atributos dinámicos, equilibrando coste de escritura y rendimiento de lectura.</t>
  </si>
  <si>
    <t>Las tablas de alta escritura (tab_carrito_productos, tab_orden_productos, tab_movimientos_inventario, tab_movimientos_puntos) deben tener índices alineados con sus consultas principales sin penalizar de forma excesiva las inserciones.</t>
  </si>
  <si>
    <t>Escalabilidad y capacidad</t>
  </si>
  <si>
    <t>tab_products y las tablas asociadas a variantes deben soportar al menos decenas de miles de productos y combinaciones sin degradación inaceptable del rendimiento de catálogos y filtros.</t>
  </si>
  <si>
    <t>Las tablas de movimientos (tab_movimientos_inventario, tab_movimientos_puntos) deben ser capaces de almacenar millones de registros, usando particiones o archivado si es necesario.</t>
  </si>
  <si>
    <t>La base de datos debe soportar concurrentemente cientos de carritos activos y transacciones de órdenes sin bloqueos prolongados ni contención severa.</t>
  </si>
  <si>
    <t>Seguridad de datos en BD</t>
  </si>
  <si>
    <t>Campos sensibles (hash de contraseña, tokens, secretos de pasarela si se almacenan) nunca deben guardarse en texto plano.</t>
  </si>
  <si>
    <t>Los accesos a tablas críticas de usuario (tab_usuarios, tab_direcciones_usuario, tab_puntos_usuario, etc.) deben estar restringidos mediante roles/privilegios de base de datos.</t>
  </si>
  <si>
    <t>Los logs de auditoría no deben almacenar información excesivamente sensible; cuando sea necesario, se deben anonimizar o truncar valores.</t>
  </si>
  <si>
    <t>https://compralo.revital.cloud/</t>
  </si>
  <si>
    <t>Observaciones</t>
  </si>
  <si>
    <t>REQUERIMIENTOS FUNCIONALES DEL HOME</t>
  </si>
  <si>
    <t>La home debe mostrar una barra superior informativa con mensajes clave (por ejemplo “Envíos gratis desde $X”) configurable por administrador, es posible cerrar la barra informativa con un boton de la parte derecha.</t>
  </si>
  <si>
    <r>
      <rPr>
        <rFont val="Calibri"/>
        <color theme="1"/>
        <sz val="11.0"/>
      </rPr>
      <t xml:space="preserve">Cumple, </t>
    </r>
    <r>
      <rPr>
        <rFont val="Calibri"/>
        <b/>
        <color theme="1"/>
        <sz val="11.0"/>
      </rPr>
      <t>NOTA:</t>
    </r>
    <r>
      <rPr>
        <rFont val="Calibri"/>
        <color theme="1"/>
        <sz val="11.0"/>
      </rPr>
      <t xml:space="preserve"> No se menciona la opcion de cerrar el mensaje en los requerimiento</t>
    </r>
  </si>
  <si>
    <t>La home debe mostrar un **header fijo** con: logo de la tienda, menú principal (`Inicio`, `Productos`, `Descuentos`, `Contacto`), buscador, icono de carrito, acceso a cuenta y selector de tema/color (si está habilitado).</t>
  </si>
  <si>
    <t>Cumple</t>
  </si>
  <si>
    <t xml:space="preserve">El **logo** en el header debe redirigir siempre a la home al hacer clic. </t>
  </si>
  <si>
    <t xml:space="preserve">El **menú principal de navegación** debe verse destacado en rojo según la sección actual (por ejemplo, `Inicio` resaltado en la homepage). Feature solo para desktop </t>
  </si>
  <si>
    <t xml:space="preserve">La **barra de búsqueda** de la home debe permitir buscar productos por texto y redirigir a la vista de catálogo (`/products`) mostrando los resultados filtrados.  </t>
  </si>
  <si>
    <t>La home debe mostrar una **sección hero** con imagen/ilustración principal, título, subtítulo y al menos dos botones de llamada a la acción (“Ver productos” y “Ver categorías”).</t>
  </si>
  <si>
    <r>
      <rPr>
        <rFont val="Calibri"/>
        <color theme="1"/>
        <sz val="11.0"/>
      </rPr>
      <t xml:space="preserve">Cumple, </t>
    </r>
    <r>
      <rPr>
        <rFont val="Calibri"/>
        <b/>
        <color theme="1"/>
        <sz val="11.0"/>
      </rPr>
      <t xml:space="preserve">NOTA: </t>
    </r>
    <r>
      <rPr>
        <rFont val="Calibri"/>
        <color theme="1"/>
        <sz val="11.0"/>
      </rPr>
      <t>No se especifica todo el contenido de la seccion hero como las metricas debajo del logo, el color de los botones, etc.</t>
    </r>
  </si>
  <si>
    <t xml:space="preserve">Al hacer clic en “Ver productos” desde el hero, el usuario debe ser redirigido a la página de catálogo de productos. </t>
  </si>
  <si>
    <t>Al hacer clic en “Ver categorías” desde el hero, el usuario debe ser redirigido a la página de categorías</t>
  </si>
  <si>
    <t xml:space="preserve">La home debe mostrar una **sección de categorías destacadas** con tarjetas para las categorías principales (por ejemplo: Electrónica, Moda, Hogar, Videojuegos, Mascotas, Ferretería). </t>
  </si>
  <si>
    <r>
      <rPr>
        <rFont val="Calibri"/>
        <color theme="1"/>
        <sz val="11.0"/>
      </rPr>
      <t xml:space="preserve">Cumple, </t>
    </r>
    <r>
      <rPr>
        <rFont val="Calibri"/>
        <b/>
        <color theme="1"/>
        <sz val="11.0"/>
      </rPr>
      <t>NOTA:</t>
    </r>
    <r>
      <rPr>
        <rFont val="Calibri"/>
        <color theme="1"/>
        <sz val="11.0"/>
      </rPr>
      <t xml:space="preserve"> No se menciona el numero de tarjetas por cada linea ni el color. Existe un boton "Ver Todas las Categorias" que no se menciona en los requerimientos</t>
    </r>
  </si>
  <si>
    <t xml:space="preserve">Cada tarjeta de categoría debe incluir nombre, breve descripción/etiqueta y fondo/ícono representativo. </t>
  </si>
  <si>
    <t xml:space="preserve">Al hacer clic en una categoría de la home, el usuario debe ser redirigido a una vista filtrada de catálogo que muestre las lineas de esa categoría. </t>
  </si>
  <si>
    <t xml:space="preserve">Cumple, </t>
  </si>
  <si>
    <t xml:space="preserve">La home debe mostrar una **sección de productos destacados** con un carrusel o grilla de tarjetas de producto (imagen, nombre, precio, rating/resumen y botón "ver detalles"). </t>
  </si>
  <si>
    <r>
      <rPr>
        <rFont val="Calibri"/>
        <color theme="1"/>
        <sz val="11.0"/>
      </rPr>
      <t xml:space="preserve">Cumple, </t>
    </r>
    <r>
      <rPr>
        <rFont val="Calibri"/>
        <b/>
        <color theme="1"/>
        <sz val="11.0"/>
      </rPr>
      <t>NOTA:</t>
    </r>
    <r>
      <rPr>
        <rFont val="Calibri"/>
        <color theme="1"/>
        <sz val="11.0"/>
      </rPr>
      <t xml:space="preserve"> Existe un boton "Ver Todos los Productos" que no se menciona en los requerimientos</t>
    </r>
  </si>
  <si>
    <t xml:space="preserve">Cada tarjeta de producto destacado debe incluir al menos: imagen principal, nombre, precio actual y botón “Ver Detalles”. </t>
  </si>
  <si>
    <t xml:space="preserve">Al hacer clic en “Ver Detalles” en un producto destacado, el usuario debe ser redirigido a la página de detalle del producto correspondiente.  </t>
  </si>
  <si>
    <t xml:space="preserve">Si un producto destacado tiene descuento, la tarjeta debe mostrar de forma clara el precio anterior, el porcentaje o monto de descuento y el precio final.  </t>
  </si>
  <si>
    <t>La home debe mostrar una **sección de testimonios de clientes** con tarjetas que incluyan nombre, rol/segmento del cliente, foto/avatar y texto del testimonio.</t>
  </si>
  <si>
    <r>
      <rPr>
        <rFont val="Calibri"/>
        <color theme="1"/>
        <sz val="11.0"/>
      </rPr>
      <t xml:space="preserve">Cumple, </t>
    </r>
    <r>
      <rPr>
        <rFont val="Calibri"/>
        <b/>
        <color theme="1"/>
        <sz val="11.0"/>
      </rPr>
      <t xml:space="preserve">NOTA: </t>
    </r>
    <r>
      <rPr>
        <rFont val="Calibri"/>
        <color theme="1"/>
        <sz val="11.0"/>
      </rPr>
      <t>Existe un boton "Empezar a comprar" que no se menciona en los requerimientos</t>
    </r>
  </si>
  <si>
    <t>Solo se mostraran las 3 ultimas reseñas.</t>
  </si>
  <si>
    <t>La home debe mostrar una **banda de beneficios** (por ejemplo: Envío Gratis, Compra Segura, Devoluciones, Pago Seguro) con iconos y texto corto.</t>
  </si>
  <si>
    <t>No Cumple, la banda de beneficios se encuentra en el footer</t>
  </si>
  <si>
    <t>El **footer** de la home debe incluir información corta "Acerca de nosotros"</t>
  </si>
  <si>
    <t>El **footer** de la home debe incluir listas de enlaces a categorías, líneas y sublíneas</t>
  </si>
  <si>
    <t xml:space="preserve">El **footer** de la home debe incluir enlaces de empresa (Acerca de, Contacto, Blog, Prensa, Inversionistas),  </t>
  </si>
  <si>
    <t xml:space="preserve">El **footer** de la home debe incluir enlaces a secciones de ayuda del cliente (Mi cuenta, Seguir pedido, Centro de ayuda, Devoluciones), </t>
  </si>
  <si>
    <t>El **footer** de la home debe incluir enlaces legales (Términos y condiciones, Política de privacidad, Política de cookies, Accesibilidad, Configurar cookies)</t>
  </si>
  <si>
    <t>El **footer** de la home debe incluir Iconos de redes sociales que redireccione a las homepage de cada red social</t>
  </si>
  <si>
    <t>El **footer** de la home debe incluir logos de metodo de pago soportados</t>
  </si>
  <si>
    <r>
      <rPr>
        <rFont val="Calibri"/>
        <color theme="1"/>
        <sz val="11.0"/>
      </rPr>
      <t xml:space="preserve">Cumple, </t>
    </r>
    <r>
      <rPr>
        <rFont val="Calibri"/>
        <b/>
        <color theme="1"/>
        <sz val="11.0"/>
      </rPr>
      <t xml:space="preserve">NOTA: </t>
    </r>
    <r>
      <rPr>
        <rFont val="Calibri"/>
        <color theme="1"/>
        <sz val="11.0"/>
      </rPr>
      <t>No hay requerimiento sobre el mensaje de copyright al final del footer</t>
    </r>
  </si>
  <si>
    <t>Todos los enlaces del footer deben redirigir a las páginas correspondientes dentro del sitio o a URLs externas configuradas.</t>
  </si>
  <si>
    <t>No cumple, el link "Mi Cuenta" redirige al home</t>
  </si>
  <si>
    <t>En la esquina inferior derecha de la home debe aparecer un **botón flotante de carrito** que abra el widget del chatbot</t>
  </si>
  <si>
    <t xml:space="preserve">La home debe mostrar el **widget de chatbot informativo** que al abrirse ofrezca un menú de opciones (términos, datos, descuentos, puntos, garantías) y responda usando datos de descuentos y puntos activos. </t>
  </si>
  <si>
    <t>la homepage debe mostrar el **banner de cookies** en la primera visita hasta que el usuario tome una decisión (aceptar todas, solo necesarias o configurar).</t>
  </si>
  <si>
    <t>El banner de cookies en la home debe enlazar a la configuración avanzada de cookies (“Configurar cookies”).</t>
  </si>
  <si>
    <t>Si el usuario ya aceptó/rechazó las cookies, la home no debe volver a mostrar el banner, pero sí debe permitir abrir la configuración desde el footer.</t>
  </si>
  <si>
    <r>
      <rPr>
        <rFont val="Calibri"/>
        <color theme="1"/>
        <sz val="11.0"/>
      </rPr>
      <t xml:space="preserve">Cumple, </t>
    </r>
    <r>
      <rPr>
        <rFont val="Calibri"/>
        <b/>
        <color theme="1"/>
        <sz val="11.0"/>
      </rPr>
      <t>NOTA:</t>
    </r>
    <r>
      <rPr>
        <rFont val="Calibri"/>
        <color theme="1"/>
        <sz val="11.0"/>
      </rPr>
      <t xml:space="preserve"> No hay requerimientos sobre como se debe de ver la configuracion de las cookies</t>
    </r>
  </si>
  <si>
    <t>La home debe mostrar indicadores de sesión en el header: si el usuario está autenticado, mostrar acceso a su cuenta/perfil; si no, mostrar enlaces “Iniciar sesión” y “Registrarse” o equivalente.</t>
  </si>
  <si>
    <t xml:space="preserve">La home debe poder ocultar/mostrar secciones (por ejemplo testimonios, productos destacados, CTA secundaria) mediante parámetros de configuración por instancia sin requerir cambios de código. </t>
  </si>
  <si>
    <t>La home debe permitir que el administrador configure los textos principales (hero, beneficios, mensajes de barra superior, títulos de secciones) de acuerdo con el branding de cada instancia.</t>
  </si>
  <si>
    <t>Información corta “Acerca de nosotros”,</t>
  </si>
  <si>
    <t>En el hero se muestra el logo de la tienda (Ejm: Carrito rojo con una flecha amarilla adentro)</t>
  </si>
  <si>
    <t>El fondo del hero debe ser un degradado oscuro (azul/negro).</t>
  </si>
  <si>
    <t>Enlaces de empresa (Acerca de, Contacto, Blog, Prensa, Inversionistas),</t>
  </si>
  <si>
    <t>El fondo del hero debe incluir partículas/puntos de colores distribuidos aleatoriamente.</t>
  </si>
  <si>
    <t>Enlaces a secciones de ayuda del cliente (Mi cuenta, Seguir pedido, Centro de ayuda, Devoluciones),</t>
  </si>
  <si>
    <t>El hero debe contener una etiqueta superior tipo badge con fondo naranja que diga “Ofertas en Tendencia”.</t>
  </si>
  <si>
    <t>Enlaces legales (Términos y condiciones, Política de privacidad, Política de cookies, Accesibilidad, Configurar cookies),</t>
  </si>
  <si>
    <t>El texto principal debe estar dividido en dos líneas: "Descubre las" en color blanco, y “ofertas increíbles” en color naranja.</t>
  </si>
  <si>
    <t>Iconos de redes sociales,</t>
  </si>
  <si>
    <t>El texto descriptivo debe ser de menor tamaño, en color gris claro/blanco tenue.</t>
  </si>
  <si>
    <t>Logos de métodos de pago soportados.</t>
  </si>
  <si>
    <t>Deben existir dos botones: Botón primario: “Ver productos” (color naranja), Botón secundario: “Ver Categorías” (color oscuro con borde).</t>
  </si>
  <si>
    <t>Los botones deben tener bordes redondeados.</t>
  </si>
  <si>
    <t>El hero debe incluir un ícono/gráfico grande de carrito de compras en el lado derecho.</t>
  </si>
  <si>
    <t>El carrito debe ser rojo con un elemento amarillo (bolsa o forma).</t>
  </si>
  <si>
    <t>Deben mostrarse indicadores de confianza debajo del texto:Compra segura. Entrega rápida, Calificación (estrellas)</t>
  </si>
  <si>
    <t>Deben mostrarse métricas destacadas: “50K+ Clientes”, “10K+ Productos”, “24/7 Soporte”</t>
  </si>
  <si>
    <t>Las métricas deben estar en tarjetas pequeñas con fondo oscuro y bordes suaves.</t>
  </si>
  <si>
    <t>Debe existir un título centrado: “Explora Nuestras Categorías”.</t>
  </si>
  <si>
    <t>La palabra “Categorías” debe estar en color naranja.</t>
  </si>
  <si>
    <t>Debe haber un subtítulo descriptivo en texto pequeño.</t>
  </si>
  <si>
    <t>Las categorías deben mostrarse en formato grid (mínimo 6).</t>
  </si>
  <si>
    <t>Cada categoría debe ser una tarjeta con: Fondo con gradiente de color único, Icono centrado,Nombre de la categoría,Descripción corta.</t>
  </si>
  <si>
    <t>Las tarjetas deben tener bordes redondeados.</t>
  </si>
  <si>
    <t>Las tarjetas deben tener efecto hover (elevación o cambio de color).</t>
  </si>
  <si>
    <t>Debe existir un botón inferior: “Ver Todas las Categorías”.</t>
  </si>
  <si>
    <t>Debe existir un título: “Productos Destacados”.</t>
  </si>
  <si>
    <t>La palabra “Destacados” debe resaltarse en naranja.</t>
  </si>
  <si>
    <t>Debe existir un subtítulo descriptivo.</t>
  </si>
  <si>
    <t>Los productos deben mostrarse en formato grid horizontal.</t>
  </si>
  <si>
    <t>Cada producto debe incluir:Imagen del producto.Nombre.Descripción corta.Precio actual.Precio anterior tachado (si aplica).</t>
  </si>
  <si>
    <t>El precio debe destacarse en color naranja o rojo.</t>
  </si>
  <si>
    <t>Debe existir un botón “Ver Detalles” por producto.</t>
  </si>
  <si>
    <t>Las tarjetas deben tener:Fondo oscuro.Bordes redondeados.Sombra ligera.</t>
  </si>
  <si>
    <t>Debe existir un botón global: “Ver Todos los Productos”.</t>
  </si>
  <si>
    <t>Debe existir un título: “Testimonios de nuestros clientes”.</t>
  </si>
  <si>
    <t>Parte del texto debe resaltarse en naranja.</t>
  </si>
  <si>
    <t>Debe existir un subtítulo explicativo.</t>
  </si>
  <si>
    <t>Los testimonios deben mostrarse en tarjetas.</t>
  </si>
  <si>
    <t>Cada tarjeta debe incluir:Comentario del cliente.Calificación con estrellas.Nombre del cliente.Inicial o avatar.</t>
  </si>
  <si>
    <t>Debe existir un ícono decorativo de comillas.</t>
  </si>
  <si>
    <t>Las tarjetas deben tener fondo oscuro y bordes suaves.</t>
  </si>
  <si>
    <t>El footer debe tener fondo oscuro.</t>
  </si>
  <si>
    <t>Debe estar dividido en múltiples columnas:Acerca de nosotros,Categorías,Enlaces,Soluciones,Empresa</t>
  </si>
  <si>
    <t>Debe incluir información de contacto.</t>
  </si>
  <si>
    <t>Debe incluir redes sociales con iconos.</t>
  </si>
  <si>
    <t>Debe existir una sección de atención al cliente.</t>
  </si>
  <si>
    <t>Debe incluir badges de confianza:Envío gratis,Compra segura,Devoluciones,Pago seguro</t>
  </si>
  <si>
    <t>Debe incluir métodos de pago (Visa, etc.).</t>
  </si>
  <si>
    <t>Debe existir una barra inferior con:Términos y condiciones,Políticas,Derechos reservados</t>
  </si>
  <si>
    <t>Debe mostrarse un banner de cookies en la parte inferior.</t>
  </si>
  <si>
    <t>Debe incluir texto explicativo.</t>
  </si>
  <si>
    <t>Debe tener botones:“Aceptar todo”,“Solo necesarias”,“Configurar”</t>
  </si>
  <si>
    <t>El banner debe tener fondo oscuro y botones contrastantes.</t>
  </si>
  <si>
    <t>REQUERIMIENTOS NO FUNCIONALES DEL HOME</t>
  </si>
  <si>
    <t>El slider debe ser responsive en móviles</t>
  </si>
  <si>
    <t>Las imágenes deben optimizarse automáticamente</t>
  </si>
  <si>
    <t>La página debe ser accesible con navegación por teclado</t>
  </si>
  <si>
    <t xml:space="preserve">La home debe aplicar técnicas de **lazy loading** para imágenes y secciones que no son visibles inicialmente, reduciendo el tiempo de carga inicial.  </t>
  </si>
  <si>
    <t>El slider/banner debe ser responsive y adaptarse a móviles, tablets y desktop</t>
  </si>
  <si>
    <t>Las imágenes de productos deben optimizarse automáticamente (WebP, compresión)</t>
  </si>
  <si>
    <t>La interfaz debe mantener contraste mínimo 4.5:1 para accesibilidad WCAG 2.1</t>
  </si>
  <si>
    <t>La galería de imágenes debe soportar zoom fluido sin lag perceptible</t>
  </si>
  <si>
    <t xml:space="preserve">
El formulario de checkout debe validarse en tiempo real con feedback visual</t>
  </si>
  <si>
    <t>La página debe ser compatible con Chrome, Firefox, Safari, Edge (últimas 2 versiones)</t>
  </si>
  <si>
    <t>El cambio entre modo claro/oscuro debe ser instantáneo sin parpadeos</t>
  </si>
  <si>
    <t>Los botones deben tener estados hover, active y disabled claramente diferenciados</t>
  </si>
  <si>
    <t xml:space="preserve">Los textos de la home deben ser accesibles mediante navegación por teclado (tabulación lógica, focos visibles en botones y enlaces).  </t>
  </si>
  <si>
    <t>El dashboard admin debe cargar gráficos en menos de 1 segundo</t>
  </si>
  <si>
    <t xml:space="preserve">
Las notificaciones toast deben aparecer por máximo 5 segundos</t>
  </si>
  <si>
    <t xml:space="preserve">
La página debe implementar lazy loading para mejorar velocidad inicial</t>
  </si>
  <si>
    <t>Los formularios deben funcionar correctamente en conexiones lentas (3G)</t>
  </si>
  <si>
    <t xml:space="preserve">
El sistema debe mantener 60 FPS en animaciones y transiciones</t>
  </si>
  <si>
    <t>La tabla de órdenes debe ser responsive con scroll horizontal en móviles</t>
  </si>
  <si>
    <t>Los elementos interactivos deben tener área mínima de 44px para touch</t>
  </si>
  <si>
    <t xml:space="preserve">La página de inicio debe cargar visualmente (contenido principal por encima del “fold”) en menos de ~3 segundos en conexiones de banda ancha típicas. </t>
  </si>
  <si>
    <t xml:space="preserve">El contenido del hero y la barra de navegación deben ser totalmente responsivos, adaptándose correctamente a móviles, tablets y escritorio (sin cortar texto ni desbordar elementos clave).  </t>
  </si>
  <si>
    <t>Las secciones de categorías y productos destacados deben reorganizarse en grillas de 1 columna en móvil, 2–3 columnas en tablet y ≥4 columnas en escritorio, manteniendo legibilidad.</t>
  </si>
  <si>
    <t>Las imágenes del hero, categorías, productos destacados y testimonios deben estar optimizadas (compresión adecuada, tamaños adaptativos, uso de formatos modernos cuando sea posible).</t>
  </si>
  <si>
    <t xml:space="preserve">Todos los elementos interactivos (botones, enlaces, iconos clicables) deben tener tamaño y separación adecuados para interacción táctil en dispositivos móviles.  </t>
  </si>
  <si>
    <t xml:space="preserve">La combinación de colores, tipografías y contrastes de la home debe cumplir al menos el nivel AA de WCAG 2.1 para texto y elementos interactivos. </t>
  </si>
  <si>
    <t xml:space="preserve">La home no debe causar **saltos de layout** importantes (CLS) durante la carga; se deben reservar alturas para imágenes y banners.  </t>
  </si>
  <si>
    <t xml:space="preserve">Los componentes compartidos (header, footer, barra superior, widget de carrito) deben reutilizarse en toda la app para mantener consistencia visual y de comportamiento.  </t>
  </si>
  <si>
    <t xml:space="preserve">Los mensajes de error o vacíos (por ejemplo, sin productos destacados configurados) deben mostrarse de forma clara y no romper la estructura de la home. </t>
  </si>
  <si>
    <t xml:space="preserve">La home debe estar preparada para mostrar contenido traducible (textos parametrizados) para soportar internacionalización futura sin rediseñar la estructura.  </t>
  </si>
  <si>
    <t xml:space="preserve">Las animaciones usadas en la home (transiciones, hover, efectos del hero) deben ser suaves y no bloquear la interacción del usuario.  </t>
  </si>
  <si>
    <t>La home debe ser resiliente ante fallos parciales de la API: si no se pueden cargar productos destacados, categorías o testimonios, debe mostrar mensajes de estado o placeholders en lugar de dejar secciones vacías o con errores.</t>
  </si>
  <si>
    <t xml:space="preserve">Los elementos interactivos del header (búsqueda, carrito, login) deben mantener su funcionalidad independientemente de la posición de scroll (por ejemplo, header fijo o sticky en móvil/escritorio). </t>
  </si>
  <si>
    <t>El widget de chatbot y el botón flotante de carrito no deben ocultar contenido crítico ni superponerse a botones importantes en resoluciones pequeñas; su posición debe adaptarse a la altura de la pantalla.</t>
  </si>
  <si>
    <t>La home debe respetar las preferencias de cookies del usuario: si ha rechazado cookies no esenciales, no se deben disparar scripts analíticos/marketing desde la home hasta que cambie su configuración.</t>
  </si>
  <si>
    <t>https://compralo.revital.cloud/products</t>
  </si>
  <si>
    <t>REQUERIMIENTOS FUNCIONALES PRODUCTOS</t>
  </si>
  <si>
    <t>La página de productos debe mostrar un listado paginado de productos basado en los filtros y criterios de ordenamiento seleccionados por el usuario.</t>
  </si>
  <si>
    <t>Cada tarjeta de producto debe mostrar al menos imagen principal, nombre, rango de precios cuando existan variantes.</t>
  </si>
  <si>
    <t>La página debe permitir filtrar productos por rango de precio mínimo y máximo mediante controles específicos en el panel de filtros.</t>
  </si>
  <si>
    <t>La página debe permitir filtrar productos por categoría, línea y sublínea utilizando una navegación jerárquica en el panel de filtros.</t>
  </si>
  <si>
    <t>La página debe permitir filtrar productos por marca y, pudiendo seleccionar una o varias opciones simultáneamente.</t>
  </si>
  <si>
    <t>La página debe ofrecer filtros de disponibilidad (por ejemplo “Solo en stock”, “Solo con descuento”) que limiten el listado a productos que cumplan dichas condiciones.</t>
  </si>
  <si>
    <t>La página debe mostrar una sección de filtros activos (chips o etiquetas) que resuma todos los filtros aplicados y permita quitarlos individualmente o limpiar todos a la vez.</t>
  </si>
  <si>
    <t>La página debe ofrecer un selector de ordenamiento con al menos las opciones por nombre, por precio (ascendente y descendente) y por relevancia o más vendidos.</t>
  </si>
  <si>
    <t>La página debe permitir cambiar entre al menos dos modos de visualización del listado (por ejemplo, vista de cuadrícula y vista de lista), recordando la preferencia del usuario cuando sea posible.</t>
  </si>
  <si>
    <t>REQUERIMIENTOS NO FUNCIONALES PRODUCTOS</t>
  </si>
  <si>
    <t>El contenido inicial de la página (primer bloque de productos visible y filtros básicos) debe cargarse en menos de ~3 segundos en conexiones de banda ancha típicas.</t>
  </si>
  <si>
    <t>Las consultas al backend que alimentan el listado de productos deben estar paginadas y usar índices adecuados sobre categoría, precio, estado y marca para evitar escaneos completos de tablas.</t>
  </si>
  <si>
    <t>La API que lista productos debe mantener un tiempo de respuesta objetivo P95 menor a 500 ms bajo carga normal, incluyendo la aplicación de filtros estándar.</t>
  </si>
  <si>
    <t>Las imágenes de productos deben cargarse utilizando técnicas de lazy loading para elementos fuera del viewport, reduciendo el peso inicial de la página.</t>
  </si>
  <si>
    <t>Los formatos y tamaños de imagen utilizados en la página de productos deben estar optimizados (compresión, tamaños adaptativos) para equilibrar calidad visual y rendimiento.</t>
  </si>
  <si>
    <t>La reserva de espacio para imágenes y tarjetas debe evitar saltos de layout significativos (CLS), manteniendo la estructura estable durante la carga.</t>
  </si>
  <si>
    <t>El control de rango de precio (inputs o slider) debe responder sin bloqueos perceptibles al usuario, aplicando el filtro mediante solicitudes asincrónicas o recarga controlada.</t>
  </si>
  <si>
    <t>La aplicación de filtros de precio no debe degradar de forma notable el tiempo de respuesta de la página, manteniendo un comportamiento similar al de otros filtros.</t>
  </si>
  <si>
    <t>El formato de precios mostrado en la página debe ser consistente con la configuración regional de la instancia (separadores de miles, símbolo de moneda, número de decimales).</t>
  </si>
  <si>
    <t>La navegación jerárquica de categorías, líneas y sublíneas debe ser completamente responsiva, adaptándose a una columna expandible en móvil y a un panel lateral en escritorio sin solapamientos.</t>
  </si>
  <si>
    <t>Las consultas para filtrar por categoría, línea y sublínea deben aprovechar índices compuestos o vistas preparadas para que el rendimiento se mantenga estable incluso con catálogos grandes.</t>
  </si>
  <si>
    <t>Los textos de nombres y descripciones de categorías, líneas y sublíneas deben truncarse de forma elegante en el panel de filtros para evitar desbordes en pantallas pequeñas.</t>
  </si>
  <si>
    <t>El listado de marcas para filtrado debe cargarse de forma eficiente (por ejemplo, una sola consulta agregada) y ordenarse alfabéticamente para facilitar su exploración.</t>
  </si>
  <si>
    <t>Los controles de selección de marcas y proveedores deben ser totalmente accesibles por teclado y anunciables por lectores de pantalla mediante etiquetas (aria-label o aria-labelledby).</t>
  </si>
  <si>
    <t>La interfaz debe limitar el número de marcas mostradas simultáneamente o proporcionar búsqueda interna cuando existan muchas marcas, evitando listas excesivamente largas que perjudiquen la usabilidad.</t>
  </si>
  <si>
    <t>Los filtros de disponibilidad deben evaluarse en consultas optimizadas que utilicen índices sobre columnas de stock y banderas de descuento para evitar sobrecarga en la base de datos.</t>
  </si>
  <si>
    <t>La activación o desactivación de filtros de disponibilidad debe generar feedback inmediato (spinner, skeleton o similar) mientras se actualiza el listado.</t>
  </si>
  <si>
    <t>El vocabulario utilizado para estados de disponibilidad (“Disponible”, “Agotado”, “En oferta”) debe ser coherente en toda la interfaz y fácilmente traducible para otros idiomas.</t>
  </si>
  <si>
    <t>La sección de filtros activos debe actualizarse de forma reactiva y sin recargar la página completa siempre que la arquitectura cliente/servidor lo permita.</t>
  </si>
  <si>
    <t>La eliminación de un filtro individual desde los chips de filtros activos debe provocar una actualización del listado con latencia perceptible mínima (&lt; 1 segundo percibido).</t>
  </si>
  <si>
    <t>El componente de filtros activos debe ser accesible (orden de tabulación lógico, focos visibles, texto alternativo claro) y compatible con lectores de pantalla.</t>
  </si>
  <si>
    <t>El selector de ordenamiento debe responder inmediatamente a los cambios del usuario, reordenando el listado mediante llamadas asincrónicas o lógica en cliente sin bloqueos de UI.</t>
  </si>
  <si>
    <t>Las opciones de ordenamiento deben describirse de forma clara y traducible, evitando abreviaturas ambiguas y permitiendo localización completa del texto.</t>
  </si>
  <si>
    <t>La lógica de ordenamiento en el backend debe estar cubierta por pruebas que aseguren resultados consistentes y deterministas ante la misma combinación de filtros.</t>
  </si>
  <si>
    <t>El cambio entre vista de cuadrícula y vista de lista no debe forzar una recarga completa de la página; idealmente debe ser un cambio puramente de presentación en el cliente.</t>
  </si>
  <si>
    <t>En dispositivos móviles, el cambio de vista debe mantener una experiencia fluida sin saltos de scroll bruscos ni pérdida del contexto actual (posición y filtros aplicados).</t>
  </si>
  <si>
    <t>La preferencia de vista (cuadrícula/lista) debe poder persistirse de forma ligera (por ejemplo en localStorage o en estado de usuario) respetando las políticas de cookies y privacidad.</t>
  </si>
  <si>
    <t>Los botones o iconos para añadir al carrito desde la tarjeta de producto deben tener tamaño y contraste suficientes para uso táctil y cumplir con los criterios de accesibilidad.</t>
  </si>
  <si>
    <t>La operación de añadir al carrito desde la página de productos debe ejecutarse sin recargar la página completa y mostrar feedback claro (toast, cambio de icono, contador del carrito).</t>
  </si>
  <si>
    <t>En el flujo de añadir al carrito, los errores (por ejemplo, falta de stock o selección de variante incompleta) deben manejarse con mensajes claros y no bloquear el resto de interacciones en la página</t>
  </si>
  <si>
    <t>REQUERIMIENTOS FUNCIONALES CATEGORIA</t>
  </si>
  <si>
    <t>La sección de categorías debe mostrar una cuadrícula de tarjetas de todas las categorías activas del catálogo, cada una con nombre, breve descripción y un ícono o imagen representativa.</t>
  </si>
  <si>
    <t>cumple  Pregunta: ¿Las categorías activas sin productos deben mostrarse en el catálogo o deben ocultarse?</t>
  </si>
  <si>
    <t>Cada tarjeta de categoría debe mostrar el número de productos asociados a esa categoría (por ejemplo “4 productos”) calculado a partir del catálogo actual.</t>
  </si>
  <si>
    <t>cumple</t>
  </si>
  <si>
    <t>Al hacer clic en una tarjeta de categoría, el sistema debe navegar a una vista de detalle de categoría donde se muestren las líneas asociadas (por ejemplo /categories/[id_category])</t>
  </si>
  <si>
    <t>cumple   Nota: Esto debe ir en requerimientos No Funcionales (por ejemplo /categories/[id_category])</t>
  </si>
  <si>
    <t>La vista de detalle de categoría debe listar todas las líneas pertenecientes a esa categoría como tarjetas, cada una con nombre, descripción corta y contador de productos asociados.</t>
  </si>
  <si>
    <t>cumple   Nota: la descripción debe ser un poco más específica acerca de las características del producto</t>
  </si>
  <si>
    <t>Al hacer clic en una tarjeta de línea, el sistema debe navegar a una vista de detalle de línea donde se muestren las sublíneas correspondientes (por ejemplo /categories/[id_line])</t>
  </si>
  <si>
    <t>La vista de detalle de línea debe listar todas las sublíneas como tarjetas con nombre y contador de productos, y permitir navegar a la vista de productos filtrados por esa sublínea.</t>
  </si>
  <si>
    <r>
      <rPr>
        <rFont val="Calibri"/>
        <color rgb="FF000000"/>
        <sz val="12.0"/>
      </rPr>
      <t>En cualquier nivel (categoría, línea, sublínea) la sección debe ofrecer un enlace o botón claro para </t>
    </r>
    <r>
      <rPr>
        <rFont val="Arial"/>
        <b/>
        <color rgb="FF000000"/>
        <sz val="11.0"/>
      </rPr>
      <t>volver</t>
    </r>
    <r>
      <rPr>
        <rFont val="Arial"/>
        <color rgb="FF000000"/>
        <sz val="11.0"/>
      </rPr>
      <t> al nivel inmediatamente anterior.</t>
    </r>
  </si>
  <si>
    <t>cumple  Nota: Cuando se le da clic al producto  para ver las específicaciones no se puede volver atrás.</t>
  </si>
  <si>
    <t>La vista de nivel más profundo (por ejemplo, sublínea) debe mostrar, además de la tarjeta de sublínea, un listado de productos filtrados exclusivamente por esa sublínea.</t>
  </si>
  <si>
    <r>
      <rPr>
        <rFont val="Calibri"/>
        <color rgb="FF000000"/>
        <sz val="12.0"/>
      </rPr>
      <t>Cuando el número de categorías sea mayor que la capacidad de la cuadrícula, la sección debe ofrecer </t>
    </r>
    <r>
      <rPr>
        <rFont val="Arial"/>
        <b/>
        <color rgb="FF000000"/>
        <sz val="11.0"/>
      </rPr>
      <t>paginación</t>
    </r>
    <r>
      <rPr>
        <rFont val="Arial"/>
        <color rgb="FF000000"/>
        <sz val="11.0"/>
      </rPr>
      <t> para navegar entre páginas de categorías.</t>
    </r>
  </si>
  <si>
    <t>La sección de categorías, en todos sus niveles, debe reutilizar el mismo header, barra superior y footer que el resto del sitio, manteniendo activo el ítem de menú “Productos” según la navegación definida.</t>
  </si>
  <si>
    <t>REQUERIMIENTOS NO FUNCIONALES CATEGORIA</t>
  </si>
  <si>
    <t>El tiempo de carga inicial de la cuadrícula de categorías (primer “fold”) no debe exceder ~3 segundos en conexiones de banda ancha típicas.</t>
  </si>
  <si>
    <t>Las consultas a la base de datos para obtener el listado de categorías deben estar paginadas y usan índices sobre las columnas de estado y orden de visualización para evitar escaneos completos innecesarios.</t>
  </si>
  <si>
    <t>El cálculo de contadores de productos por categoría debe realizarse mediante vistas/materializaciones o consultas agregadas optimizadas para no degradar el rendimiento al crecer el catálogo.</t>
  </si>
  <si>
    <t>El layout de la cuadrícula de categorías debe ser completamente responsivo, mostrando 1–2 columnas en móvil, 2–3 en tablet y ≥4 en escritorio sin solapamiento de contenido.</t>
  </si>
  <si>
    <t>Las tarjetas de categoría deben mantener un tamaño mínimo táctil de acuerdo con las recomendaciones de accesibilidad (al menos 44x44 px en dispositivos táctiles).</t>
  </si>
  <si>
    <t>Los textos de nombre y descripción de cada categoría deben truncarse de forma elegante (con ellipsis) para evitar desbordes o saltos de layout inesperados.</t>
  </si>
  <si>
    <t>Las imágenes o íconos de las tarjetas de categoría deben cargarse con técnicas de lazy loading para minimizar el peso inicial de la página.</t>
  </si>
  <si>
    <t>Los colores y contrastes usados en títulos y tarjetas de categorías deben cumplir como mínimo el nivel AA de WCAG 2.1 para asegurar legibilidad en todos los dispositivos.</t>
  </si>
  <si>
    <t>La cuadrícula y los controles de paginación deben ser completamente navegables por teclado, con un orden de tabulación lógico y focos visibles en todos los elementos interactivos.</t>
  </si>
  <si>
    <t>Las consultas que devuelven líneas asociadas a una categoría deben filtrar solo líneas activas y aprovechar índices sobre category_id y is_active para reducir la latencia.</t>
  </si>
  <si>
    <t>La vista de detalle de categoría debe renderizar las tarjetas de líneas sin provocar reflujo visual significativo; se deben reservar alturas aproximadas para las tarjetas antes de cargar su contenido.</t>
  </si>
  <si>
    <t>Los textos de encabezados y descripciones en la vista de detalle de categoría deben ser internacionalizables, permitiendo cambiar de idioma sin modificar el código de la página.</t>
  </si>
  <si>
    <t>La carga de las sublíneas en la vista de detalle de una línea debe realizarse en una sola solicitud optimizada al backend para evitar múltiples round-trips innecesarios.</t>
  </si>
  <si>
    <t>El número de sublíneas visibles por fila debe adaptarse al ancho disponible manteniendo márgenes y espacios consistentes entre tarjetas.</t>
  </si>
  <si>
    <t>Los enlaces a vistas de sublínea y productos filtrados deben exponerse mediante URLs semánticas o parámetros claramente identificables para favorecer el SEO y la compartibilidad.</t>
  </si>
  <si>
    <t>La navegación entre niveles (categoría → línea → sublínea → productos) debe completarse sin recargas completas siempre que sea posible (uso de SPA/CSR), o en su defecto con recargas rápidas y feedback visual claro.</t>
  </si>
  <si>
    <t>El botón o enlace de “Volver” debe ser accesible para lectores de pantalla (con aria-label descriptivo) y visible en el primer scroll sin que quede oculto detrás de otros elementos.</t>
  </si>
  <si>
    <t>Los cambios de nivel (por ejemplo, entrar a una categoría o línea) deben actualizar el título de la página (title) y el encabezado principal (h1) para reflejar el contexto actual y mejorar el SEO.</t>
  </si>
  <si>
    <t>En vistas de sublínea con listado de productos, el rendimiento debe ser equivalente al de la página de productos: consultas paginadas, uso de índices sobre categoría/línea/sublínea y respuesta objetivo P95 &lt; 500 ms bajo carga normal.</t>
  </si>
  <si>
    <t>En caso de error al cargar categorías, líneas o sublíneas, la interfaz debe mostrar mensajes amigables y opciones para reintentar o volver al nivel superior, evitando pantallas en blanco.</t>
  </si>
  <si>
    <t>Si una categoría o línea no tiene productos asociados, la vista correspondiente debe mostrar un mensaje de “Sin productos disponibles” y sugerir volver a categorías o líneas relacionadas sin romper el diseño.</t>
  </si>
  <si>
    <t>Los contadores de productos por categoría/ línea/sublínea deben actualizarse de forma consistente tras operaciones de catálogo (altas/bajas de productos) con una estrategia definida de refresco (por ejemplo, recalculando en background o al desplegar la vista).</t>
  </si>
  <si>
    <t>El componente de cuadrícula de categorías debe ser reutilizable para distintas instancias/temas, permitiendo cambiar estilos (colores, bordes, radios) sin modificar la lógica de negocio.</t>
  </si>
  <si>
    <t>Las vistas de categorías deben integrarse correctamente con el sistema de cookies y privacidad: no deben disparar scripts analíticos/marketing si el usuario no ha dado su consentimiento.</t>
  </si>
  <si>
    <t>El sistema debe limitar la cantidad máxima de categorías, líneas y sublíneas cargadas simultáneamente en memoria del cliente para evitar bloqueos o caídas en dispositivos de gama baja.</t>
  </si>
  <si>
    <t>Los datos de categorías, líneas y sublíneas cachéados en el frontend o en la CDN deben tener una política de expiración configurada (por ejemplo, TTL razonable) para equilibrar frescura y rendimiento.</t>
  </si>
  <si>
    <t>El back-end que sirve la sección de categorías debe registrar métricas de rendimiento (latencia, errores, throughput por endpoint) para permitir monitoreo y tuning futuro.</t>
  </si>
  <si>
    <t>Todos los textos y etiquetas mostrados en la sección de categorías deben residir en archivos de traducción o configuraciones externas para minimizar cambios de código cuando se actualice la redacción.</t>
  </si>
  <si>
    <t>La sección de categorías debe estar preparada para funcionar con distintos tamaños de catálogo (desde pocas hasta decenas de categorías) sin perder legibilidad ni romper el layout.</t>
  </si>
  <si>
    <t>Cualquier animación usada en las tarjetas de categorías (hover, focus, transiciones) debe ejecutarse de forma fluida (60 fps objetivo) y no debe bloquear la interacción ni provocar mareo o distracción excesiva.</t>
  </si>
  <si>
    <t>https://compralo.revital.cloud/discounts</t>
  </si>
  <si>
    <t>REQUERIMIENTOS FUNCIONALES DESCUENTOS</t>
  </si>
  <si>
    <t>La sección de descuentos debe mostrar un listado de todos los descuentos activos, cada uno en una tarjeta con nombre, porcentaje o monto de descuento y 
descripción corta.</t>
  </si>
  <si>
    <t>Cada tarjeta de descuento debe mostrar claramente el tipo de descuento (porcentaje o monto fijo) y el valor correspondiente (por ejemplo “50.00%” o “$50.000”).</t>
  </si>
  <si>
    <t>Cada descuento debe indicar a qué ámbito aplica: categoría específica, subconjunto de productos, carrito completo u otros criterios definidos en la configuración.</t>
  </si>
  <si>
    <t>La tarjeta de descuento debe mostrar el período de vigencia (fecha de inicio y fecha de fin) y, si corresponde, un indicador de estado (por ejemplo “Próximo”, “Activo”, “Pronto a expirar”).</t>
  </si>
  <si>
    <r>
      <rPr>
        <rFont val="Calibri"/>
        <color theme="1"/>
        <sz val="11.0"/>
      </rPr>
      <t xml:space="preserve">Cumple. </t>
    </r>
    <r>
      <rPr>
        <rFont val="Calibri"/>
        <b/>
        <color theme="1"/>
        <sz val="11.0"/>
      </rPr>
      <t>NOTA:</t>
    </r>
    <r>
      <rPr>
        <rFont val="Calibri"/>
        <color theme="1"/>
        <sz val="11.0"/>
      </rPr>
      <t xml:space="preserve"> No se pudo verificar el indicador de estado</t>
    </r>
  </si>
  <si>
    <t>La sección de descuentos debe permitir mostrar ejemplos concretos de precios antes y después de aplicar el descuento (por ejemplo “$100.000 → $50.000”) para ilustrar el beneficio.</t>
  </si>
  <si>
    <t>La sección de descuentos debe indicar, cuando aplique, si el descuento requiere condiciones especiales, como un cupón, un mínimo de compra o pertenecer a un segmento de clientes.</t>
  </si>
  <si>
    <t>La sección de descuentos debe mostrar solo los descuentos que estén realmente disponibles para el usuario actual, excluyendo aquellos reservados a otros segmentos o ya expirados.</t>
  </si>
  <si>
    <t>La sección de descuentos debe manejar el caso “sin descuentos disponibles” mostrando un estado vacío con mensaje amigable y sugerencias (por ejemplo ver productos o suscribirse a un boletín).</t>
  </si>
  <si>
    <t>La sección de descuentos debe convivir con la estructura global de la app (header, barra superior, footer, chatbot, botón flotante de carrito) sin interferir en su funcionamiento ni en la navegación principal.</t>
  </si>
  <si>
    <r>
      <rPr>
        <rFont val="Calibri"/>
        <color theme="1"/>
        <sz val="11.0"/>
      </rPr>
      <t xml:space="preserve">cumple  </t>
    </r>
    <r>
      <rPr>
        <rFont val="Calibri"/>
        <b/>
        <color theme="1"/>
        <sz val="11.0"/>
      </rPr>
      <t xml:space="preserve">NOTA:  </t>
    </r>
    <r>
      <rPr>
        <rFont val="Calibri"/>
        <color theme="1"/>
        <sz val="11.0"/>
      </rPr>
      <t>el requerimiento es funcional, pero la forma en que está redactado usa términos técnicos (“estructura global”, “chatbot”, “botón flotante de carrito”)</t>
    </r>
  </si>
  <si>
    <t>REQUERIMIENTOS NO FUNCIONALES DESCUENTOS</t>
  </si>
  <si>
    <t>El listado inicial de descuentos debe cargarse en menos de aproximadamente 2 segundos en conexiones de banda ancha típicas.</t>
  </si>
  <si>
    <t>La consulta que obtiene los descuentos activos debe filtrar por fecha de vigencia y estado para evitar recorrer descuentos expirados o desactivados.</t>
  </si>
  <si>
    <t>El endpoint que lista descuentos debe mantener un tiempo de respuesta objetivo P95 menor a 500 ms bajo carga normal.</t>
  </si>
  <si>
    <t>El formato de porcentajes y montos debe seguir la configuración regional de la instancia (símbolo de moneda, separadores de miles y decimales).</t>
  </si>
  <si>
    <t>Los valores de descuento deben formatearse de forma consistente en toda la interfaz para reducir ambigüedades y errores de interpretación.</t>
  </si>
  <si>
    <t>La lógica que calcula y muestra los valores de descuento debe estar cubierta por pruebas automatizadas que validen diversos casos (porcentajes altos, montos pequeños, redondeos).</t>
  </si>
  <si>
    <t>La obtención de la información de ámbito (categorías, productos, reglas) debe realizarse con consultas optimizadas (joins mínimos, uso de índices sobre columnas de relación).</t>
  </si>
  <si>
    <t>La descripción del ámbito de aplicación debe generarse a partir de datos estructurados y ser fácilmente traducible a otros idiomas sin cambios de código.</t>
  </si>
  <si>
    <t>Los textos que explican el ámbito deben ser claros, concisos y evitar tecnicismos innecesarios para disminuir el riesgo de reclamaciones por malentendidos.</t>
  </si>
  <si>
    <t>El cálculo de estados de vigencia (próximo, activo, pronto a expirar, expirado) debe basarse en la zona horaria configurada para la instancia y no en la hora local del navegador.</t>
  </si>
  <si>
    <t>El formato de fechas mostrado para vigencia debe ser consistente en toda la aplicación y configurable por región (por ejemplo, DD/MM/AAAA o MM/DD/YYYY).</t>
  </si>
  <si>
    <t>El refresco del estado visual de vigencia no debe requerir recargar toda la página; idealmente debe recalcularse en cliente o con llamadas ligeras al backend.</t>
  </si>
  <si>
    <t>Los ejemplos de precios antes y después del descuento deben generarse dinámicamente a partir de las reglas de descuento y de un valor de referencia configurable.</t>
  </si>
  <si>
    <t>Los cálculos de ejemplo no deben impactar de forma significativa el rendimiento de la página; deben ejecutarse en memoria o mediante consultas ligeras sin agregaciones pesadas.</t>
  </si>
  <si>
    <t>La representación de los ejemplos de precio debe ser accesible, de modo que los lectores de pantalla puedan anunciar claramente “de X pesos a Y pesos” sin ambigüedad.</t>
  </si>
  <si>
    <t>Las condiciones especiales (códigos, mínimos de compra, segmentos) deben almacenarse y consumirse desde una única fuente de verdad (base de datos o servicio) para evitar inconsistencias entre frontend y backend.</t>
  </si>
  <si>
    <t>La presentación de condiciones debe seguir buenas prácticas de legibilidad: listas, viñetas y lenguaje natural, evitando bloques de texto largos.</t>
  </si>
  <si>
    <t>La visualización de condiciones no debe depender únicamente de color o iconos; siempre debe existir texto descriptivo para cumplir criterios de accesibilidad.</t>
  </si>
  <si>
    <t>La navegación provocada al hacer clic en un descuento (por ejemplo hacia una categoría filtrada) debe mantener una latencia percibida baja, idealmente menor a 1 segundo percibido con feedback de carga.</t>
  </si>
  <si>
    <t>Los enlaces de redirección desde descuentos deben ser semánticos y amigables para SEO cuando lleven a vistas públicas de catálogo.</t>
  </si>
  <si>
    <t>Las rutas de redirección deben manejar correctamente errores (por ejemplo, productos eliminados o categoría desactivada) mostrando mensajes claros y evitando pantallas vacías.</t>
  </si>
  <si>
    <t>La lógica que filtra descuentos por segmento de usuario debe ejecutarse del lado del servidor para no exponer en el cliente descuentos no aplicables.</t>
  </si>
  <si>
    <t>El rendimiento del filtrado por segmento debe escalar bien con el número de descuentos y usuarios, apoyándose en índices y/o vistas agregadas específicas.</t>
  </si>
  <si>
    <t>La política de caché de los descuentos debe considerar la segmentación; cuando sea necesario, los resultados cacheados deben diferenciarse por tipo de usuario, rol o segmento.</t>
  </si>
  <si>
    <t>El estado vacío “sin descuentos disponibles” no debe generar llamadas repetitivas e innecesarias al backend una vez que se haya determinado que no hay descuentos activos.</t>
  </si>
  <si>
    <t>El diseño del estado vacío debe ser responsivo, evitando grandes espacios vacíos y manteniendo una jerarquía visual clara en todas las resoluciones.</t>
  </si>
  <si>
    <t>Los textos del estado vacío deben ser completamente configurables y traducibles por instancia, sin necesidad de modificar código.</t>
  </si>
  <si>
    <t>La inclusión de la sección de descuentos no debe incrementar de manera significativa el tamaño de los bundles de frontend; sus componentes deben cargarse de forma modular o bajo demanda cuando sea viable.</t>
  </si>
  <si>
    <t>La sección de descuentos debe seguir el mismo sistema de diseño (tipografías, espaciados, colores, tamaños) que el resto del sitio, para asegurar consistencia visual y de marca.</t>
  </si>
  <si>
    <t>La sección de descuentos debe respetar las preferencias de cookies y privacidad del usuario, evitando la ejecución de scripts analíticos o de marketing si no se ha otorgado el consentimiento correspondiente.</t>
  </si>
  <si>
    <t>mino</t>
  </si>
  <si>
    <t>REQUERIMIENTOS FUNCIONALES COOKIES</t>
  </si>
  <si>
    <t>La sección de Política de Cookies debe explicar de forma clara qué son las cookies y para qué se utilizan en la tienda Compralo.</t>
  </si>
  <si>
    <t>La sección debe describir los distintos tipos de cookies que utiliza el sitio (necesarias, funcionales, analíticas, de marketing u otras que se definan) y su propósito.</t>
  </si>
  <si>
    <t>La sección debe indicar explícitamente qué cookies son estrictamente necesarias para el funcionamiento del sitio y que no pueden desactivarse desde el banner.</t>
  </si>
  <si>
    <t>La sección debe informar qué cookies opcionales pueden ser aceptadas o rechazadas por el usuario (funcionales, analíticas, marketing, etc.).</t>
  </si>
  <si>
    <t>La sección debe explicar cómo puede el usuario gestionar sus preferencias de cookies a través del banner inicial y del enlace “Configurar cookies” disponible en el footer.</t>
  </si>
  <si>
    <t>La sección debe indicar el procedimiento para retirar el consentimiento en cualquier momento, incluyendo el acceso directo a la página o componente donde se revocan las cookies opcionales.</t>
  </si>
  <si>
    <t>La sección debe informar si se utilizan cookies de terceros (por ejemplo, herramientas de analítica o publicidad) e identificar a esos terceros o sus categorías.</t>
  </si>
  <si>
    <t>La sección debe indicar la fecha de última actualización de la Política de Cookies para que el usuario sepa desde cuándo son aplicables las condiciones actuales.</t>
  </si>
  <si>
    <t>REQUERIMIENTOS NO FUNCIONALES COOKIES</t>
  </si>
  <si>
    <t>La redacción de la Política de Cookies debe utilizar un lenguaje sencillo y comprensible para usuarios no técnicos, evitando jerga legal innecesaria.</t>
  </si>
  <si>
    <t>La estructura del contenido (títulos, subtítulos, listas) debe facilitar la lectura rápida, permitiendo identificar secciones como “Qué son las cookies”, “Tipos de cookies”, “Cómo gestionar tus preferencias” y “Derechos y más información”.</t>
  </si>
  <si>
    <t>El texto de la política debe estar disponible al menos en el mismo idioma principal de la tienda y ser fácilmente traducible a otros idiomas (contenido no hardcodeado en el código).</t>
  </si>
  <si>
    <t>La página de Política de Cookies debe compartir el mismo layout base que el resto del sitio (header, footer, tipografías, colores) para mantener consistencia visual y de navegación.</t>
  </si>
  <si>
    <t>La sección debe ser totalmente responsiva, presentando el contenido de forma legible tanto en móviles como en pantallas de escritorio sin necesidad de zoom horizontal.</t>
  </si>
  <si>
    <t>El tamaño de fuente, interlineado y contraste de colores en la Política de Cookies debe cumplir al menos el nivel AA de WCAG 2.1 para asegurar su legibilidad.</t>
  </si>
  <si>
    <t>Los enlaces dentro de la Política de Cookies (por ejemplo, a la Política de Privacidad o Configurar cookies) deben ser fácilmente reconocibles como tales y accesibles vía teclado.</t>
  </si>
  <si>
    <t>La sección debe estar optimizada para lectores de pantalla, utilizando encabezados (h1, h2, h3) y listas correctamente anidadas para que la navegación estructurada sea posible.</t>
  </si>
  <si>
    <t>El tiempo de carga de la página de Política de Cookies no debe diferir de forma significativa del de otras páginas de contenido estático del sitio (sin scripts pesados adicionales).</t>
  </si>
  <si>
    <t>El contenido de la Política de Cookies debe almacenarse y versionarse de forma que se pueda auditar qué texto estaba vigente en una fecha determinada (por motivos legales/compliance).</t>
  </si>
  <si>
    <t>Cualquier actualización de la política debe seguir un flujo controlado (revisión y aprobación) antes de ser publicada en producción.</t>
  </si>
  <si>
    <t>El sistema debe permitir actualizar la fecha de última revisión sin requerir despliegues complejos, idealmente mediante configuración o CMS.</t>
  </si>
  <si>
    <t>Los nombres de categorías de cookies usados en la política deben coincidir exactamente con los que se muestran en el banner y en la interfaz de configuración, evitando discrepancias que generen confusión.</t>
  </si>
  <si>
    <t>Las descripciones de cada tipo de cookie deben ser coherentes con la implementación real (por ejemplo, si se afirma que no se usan cookies de marketing, no deben existir scripts que establezcan esas cookies).</t>
  </si>
  <si>
    <t>La Política de Cookies debe dejar claro que las cookies necesarias se basan en interés legítimo o necesidad técnica, mientras que las opcionales requieren consentimiento, alineándose con la normativa aplicable.</t>
  </si>
  <si>
    <t>La URL de la página de Política de Cookies debe ser estable, legible y apta para enlazarla desde correos, footer y banner de cookies (por ejemplo, /cookies o /politica-cookies).</t>
  </si>
  <si>
    <t>La página debe ser indexable por buscadores si así se decide, para que los usuarios puedan encontrar fácilmente la política; alternativamente, si se desindexa, debe hacerse de forma consistente en todos los entornos.</t>
  </si>
  <si>
    <t>La sección debe cargarse sin depender del estado de consentimiento de cookies, de modo que siempre esté disponible incluso cuando el usuario haya rechazado todas las cookies opcionales.</t>
  </si>
  <si>
    <t>La Política de Cookies debe indicar de forma clara el marco legal aplicable (por ejemplo, normativa de protección de datos y e‑privacy del país) sin entrar en detalles que puedan quedar rápidamente obsoletos.</t>
  </si>
  <si>
    <t>El mantenimiento del contenido debe coordinarse con cambios normativos relevantes (por ejemplo, actualizaciones de leyes de cookies o guías de autoridades de protección de datos).</t>
  </si>
  <si>
    <t>El texto debe revisarse periódicamente para asegurar que sigue describiendo fielmente las cookies realmente utilizadas tras cambios técnicos (nuevas herramientas de analítica, cambios de proveedores, etc.).</t>
  </si>
  <si>
    <t>Cualquier referencia a derechos del usuario (retirar consentimiento, oposición, reclamaciones) debe ser coherente con lo indicado en la Política de Privacidad y con los procedimientos internos de atención al usuario.</t>
  </si>
  <si>
    <t>Las instrucciones para ejercer derechos relacionados con cookies (por ejemplo, contacto con el responsable) deben incluir datos de contacto vigentes y revisarse cuando estos cambien.</t>
  </si>
  <si>
    <t>La sección debe estar alineada con la arquitectura de cookies implementada (banner, configuración, almacenamiento de preferencias) para evitar contradicciones entre lo que se promete y lo que hace el sistema.</t>
  </si>
  <si>
    <t>REQUERIMIENTOS FUNCIONALES POLITICAS</t>
  </si>
  <si>
    <t>La plataforma debe disponer de una página dedicada de Política de Privacidad accesible desde el footer y desde cualquier punto relevante del sitio.</t>
  </si>
  <si>
    <t>La sección debe indicar claramente el responsable del tratamiento de los datos personales (nombre comercial o razón social y medios de contacto).</t>
  </si>
  <si>
    <t>La sección debe describir de forma explícita los tipos de datos que se recogen (registro, perfil, direcciones, historial de pedidos, navegación, etc.).</t>
  </si>
  <si>
    <t>La sección debe explicar la finalidad y base legal del tratamiento de datos (ejecución del contrato, interés legítimo, consentimiento, obligaciones legales).</t>
  </si>
  <si>
    <t>La sección debe informar los derechos del titular (acceso, rectificación, supresión, oposición, portabilidad, limitación del tratamiento) y el procedimiento para ejercerlos.</t>
  </si>
  <si>
    <t>La sección debe especificar el marco legal aplicable (por ejemplo, Ley 1581 de 2012 y demás normas locales de protección de datos).</t>
  </si>
  <si>
    <t>La sección debe indicar cómo se tratan los datos de pago y financieros (por ejemplo, procesados solo por la pasarela Wompi sin almacenar tarjetas en la plataforma).</t>
  </si>
  <si>
    <t>La sección debe explicar las comunicaciones por email que se envían (transaccionales, de seguridad, marketing opcional) y cómo el usuario puede gestionar sus preferencias.</t>
  </si>
  <si>
    <t>No cumple</t>
  </si>
  <si>
    <t>REQUERIMIENTOS NO FUNCIONALES POLITICAS</t>
  </si>
  <si>
    <t>La página de Política de Privacidad debe ser legible en todo tipo de dispositivo, con tipografía y espaciado que faciliten la lectura de textos largos.</t>
  </si>
  <si>
    <t>La Política de Privacidad debe estar disponible sin necesidad de iniciar sesión y sin requerir la ejecución de scripts no esenciales.</t>
  </si>
  <si>
    <t>El contenido de la Política debe ser versionable, conservando fecha de última actualización visible para el usuario.</t>
  </si>
  <si>
    <t>El texto debe estar redactado en un lenguaje claro y comprensible para personas no expertas en derecho, evitando tecnicismos innecesarios.</t>
  </si>
  <si>
    <t>La Política de Privacidad debe estar alineada con las prácticas reales de tratamiento de datos implementadas en backend y bases de datos; no debe prometer cosas que el sistema no cumple.</t>
  </si>
  <si>
    <t>Cualquier cambio relevante en la Política debe poder ser comunicado a los usuarios (por ejemplo, mediante banner o correo) de forma comprobable.</t>
  </si>
  <si>
    <t>La página debe ser accesible mediante tecnologías de asistencia (lectores de pantalla), con estructura semántica correcta de encabezados y listas.</t>
  </si>
  <si>
    <t>Los enlaces internos (a contacto, términos, cookies, accesibilidad) deben funcionar de forma consistente y no provocar errores 404.</t>
  </si>
  <si>
    <t>El rendimiento de la página debe ser óptimo: al ser predominantemente texto, su tiempo de carga debe ser muy bajo incluso en conexiones móviles lentas.</t>
  </si>
  <si>
    <t>La Política de Privacidad debe estar disponible en todos los idiomas soportados por la instancia, manteniendo equivalencia de contenido entre versiones.</t>
  </si>
  <si>
    <t>La sección que describe los datos recogidos debe estar sincronizada con los formularios reales (registro, perfil, checkout) para no omitir nuevos campos introducidos.</t>
  </si>
  <si>
    <t>La descripción de derechos del titular debe incluir instrucciones accionables (correo, formulario, dirección física) que sean válidas y estén monitorizadas.</t>
  </si>
  <si>
    <t>La información sobre el tratamiento de datos financieros debe reflejar con precisión la integración con la pasarela y el hecho de que no se almacenen datos sensibles en la plataforma.</t>
  </si>
  <si>
    <t>La sección de comunicaciones por email debe diferenciar claramente entre mensajes obligatorios (transaccionales) y opcionales (marketing), coherente con la configuración de preferencias del usuario.</t>
  </si>
  <si>
    <t>El contenido legal de la Política debe ser revisable periódicamente por responsables de cumplimiento para asegurar que sigue la normativa vigente.</t>
  </si>
  <si>
    <t>La Política debe contemplar plazos de conservación de datos y estar alineada con las políticas de retención en base de datos (archivado, anonimización, borrado).</t>
  </si>
  <si>
    <t>La página debe estar protegida frente a modificaciones no autorizadas (por ejemplo, mediante control de permisos y flujos de despliegue controlados).</t>
  </si>
  <si>
    <t>La explicación sobre cookies y tracking debe ser coherente con el sistema de gestión de cookies implementado (banner, categorías, revocación).</t>
  </si>
  <si>
    <t>La Política debe indicar de forma honesta si se realizan transferencias internacionales de datos y, de ser así, bajo qué garantías (cláusulas contractuales tipo, etc.).</t>
  </si>
  <si>
    <t>Los logs del sistema que puedan contener datos personales deben ser tratados de acuerdo con la Política (tiempos de retención, acceso restringido, anonimización cuando proceda).</t>
  </si>
  <si>
    <t>Las referencias normativas (leyes, decretos, circulares) deben estar actualizadas y correctamente citadas para el país o región objetivo.</t>
  </si>
  <si>
    <t>La navegación desde la Política de Privacidad hacia otras secciones legales (Términos y Condiciones, Cookies, Accesibilidad) debe seguir una estructura coherente que facilite al usuario encontrar toda la información de cumplimiento.</t>
  </si>
  <si>
    <t>Los textos de la Política no deben bloquear ni retrasar otros flujos críticos de la app; su carga debe ser independiente de la API principal de catálogo o checkout.</t>
  </si>
  <si>
    <t>Cuando se utilicen servicios de terceros (pasarela de pagos, proveedores de email, herramientas analíticas), la Política debe indicar de forma transparente su rol (encargado o responsable) sin revelar secretos técnicos.</t>
  </si>
  <si>
    <t>REQUERIMIENTOS FUNCIONALES TERMINOS &amp; CONDICIONES</t>
  </si>
  <si>
    <t>La sección de Términos y Condiciones debe mostrar el contrato de uso de la plataforma, incluyendo al menos: registro, roles de usuario, carrito, condiciones de compra, comunicaciones y aceptación.</t>
  </si>
  <si>
    <t>La sección debe describir explícitamente los roles soportados por la plataforma (Cliente, Empleado, Administrador) y sus responsabilidades básicas.</t>
  </si>
  <si>
    <t>La sección debe explicar cómo funciona el carrito de compras, incluyendo navegación anónima, asociación a la cuenta al iniciar sesión y comportamiento de los productos agregados.</t>
  </si>
  <si>
    <t>La sección debe detallar las condiciones de compra: precios, impuestos, costos de envío, medio de pago (Wompi) y momento de confirmación de la orden.</t>
  </si>
  <si>
    <t>La sección debe indicar claramente qué tipos de comunicaciones por correo envía la plataforma (registro, órdenes, recuperación de contraseña, etc.) y mediante qué proveedor (Resend).</t>
  </si>
  <si>
    <t>La sección debe incluir una cláusula de aceptación, indicando que el uso de la plataforma implica la aceptación de los Términos de Servicio y de la Política de Privacidad.</t>
  </si>
  <si>
    <t>La sección debe referenciar y enlazar, cuando existan, a otros documentos legales relacionados: Política de Privacidad, Política de Cookies, Accesibilidad y otros avisos legales relevantes.</t>
  </si>
  <si>
    <t>La sección debe indicar el marco legal aplicable (por ejemplo, leyes colombianas específicas como Ley 1480 de 2011, Ley 527 de 1999, Decreto 1074 de 2015) y el país de jurisdicción.</t>
  </si>
  <si>
    <t>REQUERIMIENTOS NO FUNCIONALES TERMINOS &amp; CONDICIONES</t>
  </si>
  <si>
    <t>El contenido de Términos y Condiciones debe ser legible en cualquier dispositivo (desktop, tablet, móvil), usando tipografía y espaciado adecuados para textos largos.</t>
  </si>
  <si>
    <t>La sección debe ser fácilmente navegable, permitiendo al usuario hacer scroll sin interrupciones ni elementos que tapen el texto legal.</t>
  </si>
  <si>
    <t>El tiempo de carga de la página de Términos y Condiciones debe ser comparable al de otras páginas informativas (por ejemplo, &lt; 2 segundos en banda ancha típicamente), al no depender de llamadas pesadas a la API.</t>
  </si>
  <si>
    <t>El lenguaje utilizado en Términos y Condiciones debe ser claro, evitando tecnicismos innecesarios, y estar alineado con buenas prácticas de redacción legal para consumidores.</t>
  </si>
  <si>
    <t>El contenido debe estar disponible al menos en el idioma principal de la instancia (por ejemplo, español de Colombia) y preparado para internacionalización si se soportan otros mercados.</t>
  </si>
  <si>
    <t>La sección debe estructurarse con encabezados, listas y párrafos que faciliten la lectura y la segmentación de temas (registro, roles, compras, comunicaciones, marco legal, etc.).</t>
  </si>
  <si>
    <t>La descripción de roles (Cliente, Empleado, Administrador) debe reflejar exactamente las capacidades reales que el sistema otorga, evitando inconsistencias que puedan generar reclamos.</t>
  </si>
  <si>
    <t>Cualquier cambio en la gestión de roles en la aplicación debe venir acompañado de una revisión del texto de Términos y Condiciones para mantener la alineación.</t>
  </si>
  <si>
    <t>La sección debe dejar claro que la asignación de roles internos (Empleado, Administrador) es responsabilidad del titular de la tienda, reduciendo ambigüedad de responsabilidad.</t>
  </si>
  <si>
    <t>La explicación del funcionamiento del carrito debe evitar contradicciones con el comportamiento real (por ejemplo, migración de carrito anónimo a cuenta) y revisarse cuando cambien dichas reglas.</t>
  </si>
  <si>
    <t>El texto debe aclarar que los productos en el carrito no constituyen una reserva hasta completar el proceso de pago, reduciendo riesgos de malentendidos legales.</t>
  </si>
  <si>
    <t>La descripción del carrito debe estar libre de supuestos implícitos no soportados por el sistema (por ejemplo, no prometer funcionalidades de wishlist si se gestionan en otra sección).</t>
  </si>
  <si>
    <t>Las condiciones de compra (precios, impuestos, costos de envío, tiempos estimados) deben estar descritas de forma acorde con la implementación real de checkout y con los requisitos legales vigentes.</t>
  </si>
  <si>
    <t>Debe evitarse cualquier promesa de disponibilidad de stock o tiempos de entrega que no pueda garantizarse técnicamente, usando redacción prudente (por ejemplo, “estimados”).</t>
  </si>
  <si>
    <t>La sección debe favorecer el cumplimiento de normativas de comercio electrónico (por ejemplo, información previa al contrato, derecho de retracto, garantías) según la jurisdicción aplicable.</t>
  </si>
  <si>
    <t>La parte relativa a comunicaciones debe cumplir las normativas de spam y protección de datos (por ejemplo, sólo envíos transaccionales definidos, opción de manejar preferencias en otras secciones).</t>
  </si>
  <si>
    <t>La mención del proveedor de correos (Resend) debe describirse de forma neutral, sin exponer detalles técnicos innecesarios ni secretos de implementación.</t>
  </si>
  <si>
    <t>El texto debe clarificar qué tipos de mensajes pueden llegar al usuario y con qué finalidad (confirmación de cuenta, órdenes, seguridad), para cumplir principios de transparencia.</t>
  </si>
  <si>
    <t>La cláusula de aceptación debe ubicarse en un lugar prominente y fácilmente visible, no escondida al final de un texto extremadamente largo sin formato adecuado.</t>
  </si>
  <si>
    <t>Cuando se actualicen los Términos y Condiciones, el sistema debe poder mostrar la nueva versión y, a nivel de UX, ofrecer mecanismos (en otras secciones) para notificar cambios importantes a los usuarios.</t>
  </si>
  <si>
    <t>El contenido de aceptación debe evitar ambigüedades sobre el momento exacto en que se considera aceptado (por ejemplo, al registrarse o continuar usando el sitio).</t>
  </si>
  <si>
    <t>Los enlaces a documentos legales relacionados (Privacidad, Cookies, Accesibilidad) deben verificarse periódicamente para evitar links rotos, manteniendo una buena experiencia de usuario.</t>
  </si>
  <si>
    <t>El diseño de la sección debe permitir que los enlaces legales sobresalgan visualmente del texto general, facilitando que el usuario pueda consultarlos.</t>
  </si>
  <si>
    <t>El texto debe evitar duplicar grandes bloques de información ya descritos en otras políticas; en su lugar, debe hacer referencia a ellas para mantener coherencia y facilidad de mantenimiento.</t>
  </si>
  <si>
    <t>La indicación del marco legal aplicable debe ser precisa (nombre de leyes, números y años correctos) y mantenerse actualizada ante eventuales cambios normativos.</t>
  </si>
  <si>
    <t>El contenido legal debe revisarse periódicamente por alguien con conocimiento jurídico para asegurar su vigencia y adecuación, minimizando riesgos legales para la plataforma.</t>
  </si>
  <si>
    <t>La sección debe ser fácilmente imprimible o exportable (por ejemplo, que al imprimir desde el navegador se vea el texto completo con buena maquetación), apoyando requerimientos legales de conservación de contrato.</t>
  </si>
  <si>
    <t>REQUERIMIENTOS FUNCIONALES PERFIL</t>
  </si>
  <si>
    <t>La sección de perfil debe mostrar los datos personales básicos del usuario autenticado, incluyendo nombre, apellidos, email, teléfono, fecha de nacimiento, avatar y estado de la cuenta (por ejemplo “Usuario Activo”).</t>
  </si>
  <si>
    <t>El usuario debe poder editar y actualizar sus datos personales (nombre, apellidos, teléfono, fecha de nacimiento, etc.) desde la sección de perfil, guardando los cambios en el backend.</t>
  </si>
  <si>
    <r>
      <rPr>
        <rFont val="Calibri"/>
        <color theme="1"/>
        <sz val="11.0"/>
      </rPr>
      <t xml:space="preserve">No cumple. La fecha de nacimiento no se puede editar. </t>
    </r>
    <r>
      <rPr>
        <rFont val="Calibri"/>
        <b/>
        <color theme="1"/>
        <sz val="11.0"/>
      </rPr>
      <t xml:space="preserve">NOTA: </t>
    </r>
    <r>
      <rPr>
        <rFont val="Calibri"/>
        <color theme="1"/>
        <sz val="11.0"/>
      </rPr>
      <t>Elimine terminos que el usuario no entienda 
en los requerimientos</t>
    </r>
  </si>
  <si>
    <t>La sección de perfil debe permitir cambiar el avatar del usuario seleccionando entre diferentes combinaciones de colores, mostrando una vista previa antes de guardar.</t>
  </si>
  <si>
    <t>El perfil debe mostrar un panel de estadísticas de cuenta con información agregada como total gastado, número de órdenes completadas, cantidad de productos favoritos y puntos de fidelidad acumulados.</t>
  </si>
  <si>
    <t>La pestaña de “Órdenes” debe listar el historial de pedidos del usuario, mostrando para cada orden su identificador, fecha, estado y total pagado.</t>
  </si>
  <si>
    <t>No cumple. El numero de la orden no coincide con el numero de compras del cliente</t>
  </si>
  <si>
    <t>Desde el historial de órdenes, el usuario debe poder ver el detalle completo de una orden seleccionada, incluyendo productos comprados, cantidades, variantes, subtotales, descuentos y total.</t>
  </si>
  <si>
    <r>
      <rPr>
        <rFont val="Calibri"/>
        <color theme="1"/>
        <sz val="11.0"/>
      </rPr>
      <t xml:space="preserve">Cumple. </t>
    </r>
    <r>
      <rPr>
        <rFont val="Calibri"/>
        <b/>
        <color theme="1"/>
        <sz val="11.0"/>
      </rPr>
      <t>NOTA:</t>
    </r>
    <r>
      <rPr>
        <rFont val="Calibri"/>
        <color theme="1"/>
        <sz val="11.0"/>
      </rPr>
      <t xml:space="preserve"> falta metodo de pago en el requerimiento</t>
    </r>
  </si>
  <si>
    <t>En el detalle de una orden, el usuario debe poder crear, editar o cancelar una reseña para cada producto comprado, proporcionando una calificación y un comentario.</t>
  </si>
  <si>
    <t>No cumple. No permite editar o eliminar una reseña</t>
  </si>
  <si>
    <t>La pestaña de “Direcciones” debe permitir gestionar las direcciones de envío del usuario: listar direcciones existentes, crear nuevas, editarlas, marcarlas como principal y desactivarlas o eliminarlas.</t>
  </si>
  <si>
    <t>No cumple. La funcion de activar o desactivar una direccion no funciona, al momento de realizar un 
pedido o una compra se muestran todas las direcciones.</t>
  </si>
  <si>
    <t>La pestaña de “Canje” debe mostrar los puntos de fidelidad disponibles, los canjes de puntos vigentes y los descuentos que el usuario puede canjear con sus puntos.</t>
  </si>
  <si>
    <t>No cumple. No fue posible probarlo, arroja un error al crear descuentos</t>
  </si>
  <si>
    <t>La pestaña de “Configuración” debe permitir al usuario gestionar la seguridad de su cuenta, incluyendo cambiar contraseña y solicitar la eliminación definitiva de la cuenta.</t>
  </si>
  <si>
    <t>No cumple. No se puede eliminar la cuenta</t>
  </si>
  <si>
    <t>REQUERIMIENTOS NO FUNCIONALES PERFIL</t>
  </si>
  <si>
    <t>La carga inicial de la sección de perfil (datos personales y estadísticas básicas) debe completarse en menos de ~2 segundos en conexiones de banda ancha típicas.</t>
  </si>
  <si>
    <t>Los datos personales mostrados deben recuperarse únicamente para el usuario autenticado actual, respetando estrictamente las reglas de acceso por token/rol.</t>
  </si>
  <si>
    <t>Los campos de datos personales deben estar validados en frontend y backend (formatos de email y teléfono, fechas válidas, longitud máxima), devolviendo mensajes de error claros.</t>
  </si>
  <si>
    <t>El formulario de edición de datos personales debe ofrecer retroalimentación inmediata al usuario (estados de carga, éxito, error) cuando se envían cambios.</t>
  </si>
  <si>
    <t>La actualización de los datos personales debe ser transaccional: o bien se guardan correctamente todos los campos válidos, o bien se rechaza la operación sin dejar el perfil en un estado inconsistente.</t>
  </si>
  <si>
    <t>El sistema debe registrar auditoría mínima de cambios críticos (por ejemplo, cambios de email o teléfono) para facilitar trazabilidad y seguridad.</t>
  </si>
  <si>
    <t>El selector de avatar debe ser completamente responsivo y usable tanto con mouse como con dispositivos táctiles, con un tamaño mínimo de los avatares que facilite su selección.</t>
  </si>
  <si>
    <t>La acción de guardar avatar debe ejecutarse sin recargar toda la página, mostrando un estado de “guardando” y confirmación visual una vez aplicado.</t>
  </si>
  <si>
    <t>La paleta de avatares y combinaciones de colores debe cumplir criterios de contraste mínimos para que el avatar sea reconocible en temas claros y oscuros.</t>
  </si>
  <si>
    <t>El panel de estadísticas de cuenta debe obtener sus datos mediante consultas agregadas optimizadas para no afectar el rendimiento, incluso cuando el usuario tenga muchas órdenes.</t>
  </si>
  <si>
    <t>Los valores de estadísticas (total gastado, órdenes, puntos) deben actualizarse de forma coherente después de nuevas compras u operaciones, evitando mostrar información desfasada.</t>
  </si>
  <si>
    <t>El formato de moneda y números en el panel de estadísticas debe seguir la configuración regional de la instancia (símbolo, separadores, decimales).</t>
  </si>
  <si>
    <t>La lista de órdenes debe estar paginada o limitada en tamaño para garantizar tiempos de respuesta aceptables aunque el usuario tenga un historial muy largo.</t>
  </si>
  <si>
    <t>Los estados de las órdenes (por ejemplo “Procesada”, “Pendiente”, “Cancelada”) deben representarse con etiquetas consistentes y fácilmente traducibles, no solo por color.</t>
  </si>
  <si>
    <t>La navegación entre la lista de órdenes y el detalle de una orden debe mantener la posición original en la lista al regresar, evitando pérdida de contexto del usuario.</t>
  </si>
  <si>
    <t>La consulta que alimenta el detalle de una orden debe traer toda la información necesaria (productos, variantes, totales, descuentos) en una sola operación optimizada, evitando múltiples llamadas encadenadas.</t>
  </si>
  <si>
    <t>Los montos y totales mostrados en el detalle de una orden deben coincidir exactamente con los dados en el checkout y almacenados en la base de datos, sin recálculos que puedan introducir diferencias.</t>
  </si>
  <si>
    <t>El detalle de orden debe estar protegido para que solo el propietario de la orden pueda verlo; cualquier intento de acceso no autorizado debe devolver un error 403/404.</t>
  </si>
  <si>
    <t>El formulario de reseñas debe validar longitud máxima del comentario, obligatoriedad de la calificación y evitar envío repetido accidental (doble clic).</t>
  </si>
  <si>
    <t>La creación o actualización de una reseña debe ejecutarse de forma asíncrona, con indicadores de progreso y mensajes claros de éxito o error.</t>
  </si>
  <si>
    <t>Los textos de reseñas y calificaciones deben almacenarse y mostrarse de forma que no rompan el layout (manejo de saltos de línea y textos muy largos) y sean aptos para moderación si se implementa.</t>
  </si>
  <si>
    <t>Las operaciones de gestión de direcciones (crear, editar, marcar principal) deben validar campos obligatorios (calle, ciudad, país, teléfono) y formatos básicos antes de enviar al backend.</t>
  </si>
  <si>
    <t>El sistema debe garantizar que solo exista una dirección marcada como principal por usuario en un momento dado, aplicando esta regla tanto en frontend como en backend.</t>
  </si>
  <si>
    <t>La lista de direcciones debe ser clara y usable en dispositivos móviles, con acciones (editar, activar/desactivar, eliminar) lo suficientemente grandes y con iconos y etiquetas accesibles.</t>
  </si>
  <si>
    <t>La pestaña de “Canje” debe obtener los puntos disponibles y posibles canjes en una sola consulta optimizada, usando índices sobre tablas de puntos y canjes para mantener buena latencia.</t>
  </si>
  <si>
    <t>La representación de los puntos (ej. “7,399 puntos disponibles”) debe seguir el formato numérico local y actualizarse correctamente tras compras o canjes, evitando mostrar valores negativos.</t>
  </si>
  <si>
    <t>Los estados de “no tienes canjes disponibles” o “no hay descuentos canjeables” deben mostrarse con mensajes claros y sin generar llamadas innecesarias repetidas al backend.</t>
  </si>
  <si>
    <t>La acción de cambiar contraseña debe requerir autenticación reciente (token válido) y cumplir reglas de complejidad configurables (longitud mínima, mezcla de caracteres), con mensajes claros cuando no se cumplan.</t>
  </si>
  <si>
    <t>La operación de eliminación de cuenta debe ser explícitamente confirmada por el usuario (por ejemplo, mediante diálogo de confirmación o reintroducción de contraseña) y registrarse para auditoría.</t>
  </si>
  <si>
    <t>Cualquier cambio en la configuración de seguridad debe desencadenar invalidación de sesiones activas según la política definida (por ejemplo, cerrar sesión en otros dispositivos) para reducir el riesgo de accesos no autorizados.</t>
  </si>
  <si>
    <t>https://compralo.revital.cloud/contacto</t>
  </si>
  <si>
    <t>REQUERIMIENTOS CONTACTO</t>
  </si>
  <si>
    <t>La sección de contacto debe mostrar claramente los datos de contacto principales de la tienda: correo electrónico, teléfono y dirección física.</t>
  </si>
  <si>
    <t>La sección de contacto debe mostrar el horario de atención al cliente (días y franjas horarias) de forma legible.</t>
  </si>
  <si>
    <t>La sección de contacto debe incluir un enlace o botón “Volver al inicio” que lleve al usuario a la página principal.</t>
  </si>
  <si>
    <t>La sección de contacto debe reutilizar el mismo header, barra superior, menú de navegación y footer que el resto del sitio, manteniendo el ítem “Contacto” como activo.</t>
  </si>
  <si>
    <t>Cumple  Recomendación: Evitar usar tanto lenguaje técnico en los requerimientos funcionales :).</t>
  </si>
  <si>
    <t>La sección de contacto debe permitir que, al hacer clic en el correo electrónico mostrado, se abra el cliente de correo del usuario con la dirección prellenada (enlace mailto).</t>
  </si>
  <si>
    <t>La sección de contacto debe permitir que, al hacer clic en el teléfono mostrado en dispositivos móviles, se inicie una llamada telefónica (enlace tel).</t>
  </si>
  <si>
    <t>La sección de contacto debe mostrar un bloque de texto que indique que el formulario de contacto está en desarrollo y ofrezca canales alternativos (teléfono/correo) mientras tanto.</t>
  </si>
  <si>
    <t>La sección de contacto debe permitir, en el futuro, incluir un formulario de contacto con campos para nombre, correo, asunto y mensaje, enviando la información al backend para su gestión.</t>
  </si>
  <si>
    <t>No se ha implementado por lo tanto en el nivel de cumplimiento debe ir ADI.</t>
  </si>
  <si>
    <t>https://compralo.revital.cloud/seguimiento</t>
  </si>
  <si>
    <t>REQUERIMIENTOS FUNCIONALES SEGUIMIENTO</t>
  </si>
  <si>
    <t>La sección “Seguir pedido” debe mostrar un título y una descripción indicando que permite consultar el estado del envío con número de pedido y email.</t>
  </si>
  <si>
    <t>NO CUMPLE,  No se ha implementado</t>
  </si>
  <si>
    <t>La sección debe incluir un enlace “Volver al inicio” que redirija a /.</t>
  </si>
  <si>
    <t>REQUERIMIENTOS FUNCIONALES NO SEGUIMIENTO</t>
  </si>
  <si>
    <t>La página debe ser responsiva (contenedor centrado y legible en móvil/desktop) sin desbordes horizontales.</t>
  </si>
  <si>
    <t>La página debe ser accesible: jerarquía de encabezados clara (h1/h2), texto con buen contraste en modo claro/oscuro y navegación por teclado para el enlace “Volver al inicio”.</t>
  </si>
  <si>
    <t>La página debe cargar rápido al ser contenido mayormente estático (sin esperas perceptibles para mostrar el contenido).</t>
  </si>
  <si>
    <t>El contenido debe mostrarse de forma consistente (sin saltos de layout importantes) al cargar.</t>
  </si>
  <si>
    <t>Los textos deben ser claros y sin ambigüedad sobre el estado actual: el formulario real no está disponible todavía.</t>
  </si>
  <si>
    <t>REQUERIMIENTOS FUNCIONALES INVERSIONISTAS</t>
  </si>
  <si>
    <t>La página de Inversionistas debe mostrar un título y una descripción breve del contenido (resumen corporativo). (en el pie de página)</t>
  </si>
  <si>
    <t>Cumple.</t>
  </si>
  <si>
    <t>La página debe mostrar una sección de cifras destacadas con tarjetas (ej.: ventas anuales, pedidos entregados, usuarios activos) y sus valores.</t>
  </si>
  <si>
    <t>La página debe indicar explícitamente cuando las cifras mostradas son de ejemplo/ilustrativas (disclaimer visible).</t>
  </si>
  <si>
    <t>La página debe mostrar un correo de contacto para inversionistas (ej.: inversionistas@compralo.com) para solicitudes de información.</t>
  </si>
  <si>
    <t>La página debe incluir un enlace o acción de “Volver al inicio”.</t>
  </si>
  <si>
    <t>REQUERIMIENTOS NO FUNCIONALES INVERSIONISTAS</t>
  </si>
  <si>
    <t>La página debe cargar el contenido principal (título + cifras) en un tiempo razonable (objetivo ~3s en condiciones normales).</t>
  </si>
  <si>
    <t>El diseño debe ser responsive (móvil/tablet/escritorio) sin que las tarjetas se solapen ni se corten textos.</t>
  </si>
  <si>
    <t>Las tarjetas de cifras deben mantener legibilidad: contraste suficiente y tamaños de fuente adecuados.</t>
  </si>
  <si>
    <t>El disclaimer de “datos de ejemplo” debe ser claramente visible (no depender solo de color).</t>
  </si>
  <si>
    <t>El correo de contacto debe ser copiable y/o clicable (mailto) sin errores.</t>
  </si>
  <si>
    <t>El enlace “Volver al inicio” debe funcionar sin recargas innecesarias y mantener una navegación consistente con el resto del sitio.</t>
  </si>
  <si>
    <t>La página debe ser accesible por teclado: foco visible en enlaces/botones y orden de tabulación lógico.</t>
  </si>
  <si>
    <t>El contenido debe ser estático o cacheable para minimizar latencia (no debe bloquearse por llamadas pesadas si solo son datos informativos).</t>
  </si>
  <si>
    <t>Los textos deben ser consistentes con el idioma del sitio (español) y fáciles de mantener (sin hardcode disperso si luego se migra a CMS).</t>
  </si>
  <si>
    <t>No debe mostrarse información sensible real por error (si las cifras son “ejemplo”, debe mantenerse así hasta que exista un origen de datos validado).</t>
  </si>
  <si>
    <t>Debe manejarse correctamente el estado “sin datos” si en el futuro las cifras vienen de API (mostrar placeholder/mensaje en vez de romper el layout).</t>
  </si>
  <si>
    <t>La estructura debe permitir agregar más tarjetas de cifras sin degradar el layout (grilla adaptable).</t>
  </si>
  <si>
    <t>La página debe mantener coherencia visual con el tema (modo oscuro/colores) del resto de Compralo.</t>
  </si>
  <si>
    <t>La página no debe generar errores en consola por datos faltantes (por ejemplo, valores nulos).</t>
  </si>
  <si>
    <t>El contenido debe ser indexable y con encabezados semánticos (h1, h2) para SEO básico.</t>
  </si>
  <si>
    <t>El botón de “Añadir al carrito” debe proporcionar feedback inmediato (cambio de estado, toast, actualización del contador de carrito) sin bloquear la interfaz.</t>
  </si>
  <si>
    <t>Las llamadas a la API para añadir al carrito desde la página de producto deben estar protegidas ante uso abusivo (rate limiting básico o validaciones de sesión).</t>
  </si>
  <si>
    <t>En caso de error al añadir al carrito (por ejemplo falta de stock, sesión expirada), el sistema debe mostrar mensajes claros y no dejar el botón en un estado inconsistente.</t>
  </si>
  <si>
    <t>La visualización de descuentos debe ser consistente con el resto de la plataforma (mismas fórmulas de cálculo, redondeos y formatos) para evitar confusiones.</t>
  </si>
  <si>
    <t>El rendimiento del cálculo de precio con descuento no debe verse afectado de forma significativa al cambiar de variante o al actualizar datos de backend.</t>
  </si>
  <si>
    <t>La presencia de descuentos no debe romper el layout ni provocar cambios bruscos de anchura en el bloque de precio al mostrar/ocultar el precio original tachado.</t>
  </si>
  <si>
    <t>La funcionalidad de favoritos debe ejecutarse de forma asincrónica, sin recargar la página completa, y manejar estados “añadido / eliminado” de forma clara para el usuario.</t>
  </si>
  <si>
    <t>Las operaciones de lectura/escritura de favoritos deben estar autenticadas y asociadas de forma segura al usuario actual, evitando fugas entre cuentas.</t>
  </si>
  <si>
    <t>La UI de favoritos debe mantener un estado consistente incluso cuando se realicen cambios desde otras vistas (por ejemplo, si un producto se elimina de favoritos en la página de favoritos).</t>
  </si>
  <si>
    <t>La sección de información adicional (especificaciones, ficha técnica) debe estar estructurada en bloques o tablas fáciles de escanear, evitando párrafos excesivamente largos.</t>
  </si>
  <si>
    <t>El contenido de esta sección debe ser traducible y configurable por instancia, sin necesidad de cambiar el código.</t>
  </si>
  <si>
    <t>La carga de información adicional no crítica puede diferirse (lazy load) para mejorar el tiempo de render inicial.</t>
  </si>
  <si>
    <t>La sección de comentarios debe manejar correctamente el caso de “sin comentarios”: mostrar un estado vacío con mensaje amigable y no dejar un espacio en blanco indefinido.</t>
  </si>
  <si>
    <t>Las operaciones de listado y creación de comentarios deben paginarse y validarse para evitar abuso (spam, tamaños de texto excesivos, lenguaje inapropiado según las políticas).</t>
  </si>
  <si>
    <t>La UI de comentarios debe ser accesible, permitiendo navegar y enviar opiniones mediante teclado y proporcionando mensajes de error claros en caso de validaciones fallidas.</t>
  </si>
  <si>
    <t>La sección de productos recomendados debe cargarse de forma perezosa (por ejemplo al hacer scroll hasta su posición) para no impactar el tiempo de carga inicial.</t>
  </si>
  <si>
    <t>El algoritmo o lógica de recomendación debe ser configurable (por categoría, por ventas, por similitud, etc.) y estar desacoplado de la presentación.</t>
  </si>
  <si>
    <t>Los carruseles de recomendados deben permitir navegación por teclado y no depender únicamente de gestos de arrastre o clics en flechas pequeñas.</t>
  </si>
  <si>
    <t>Los breadcrumbs y la URL del producto deben ser SEO‑friendly (por ejemplo, usar slugs legibles) y mantenerse consistentes si se cambia el nombre del producto.</t>
  </si>
  <si>
    <t>El &lt;title&gt; de la página de producto debe incluir al menos el nombre del producto y la marca para mejorar la indexación en buscadores.</t>
  </si>
  <si>
    <t>Los metadatos (por ejemplo etiquetas Open Graph, esquema de producto) deben poder configurarse para mejorar la compartición en redes sociales y motores de búsqueda.</t>
  </si>
  <si>
    <t>REQUERIMIENTOS FUNCIONALES DEVOLUCIONES</t>
  </si>
  <si>
    <t>La sección de devoluciones debe mostrar el título “Devoluciones” y una descripción breve de que es una política/proceso de devoluciones.</t>
  </si>
  <si>
    <t>La sección debe mostrar claramente el plazo para devoluciones (en el ejemplo: 30 días desde la recepción del producto).</t>
  </si>
  <si>
    <t>La sección debe mostrar un bloque de condiciones para aceptar una devolución (en el ejemplo: producto sin usar, empaque original con etiquetas, incluir factura/comprobante, y restricciones para ciertos productos como higiene o electrónica abierta).</t>
  </si>
  <si>
    <t>La sección debe mostrar el proceso de devolución como una lista de pasos numerados (en el ejemplo: proceso en 4 pasos).</t>
  </si>
  <si>
    <t>El paso 1 del proceso debe indicar que el cliente debe contactar a atención al cliente e incluir al menos “número de pedido” y “motivo”.</t>
  </si>
  <si>
    <t>El proceso debe indicar que la tienda enviará etiqueta/instrucciones para el envío de vuelta (paso 2).</t>
  </si>
  <si>
    <t>El proceso debe indicar que el cliente debe empacar y entregar el producto al mensajero o en un punto indicado (paso 3).</t>
  </si>
  <si>
    <t>El proceso debe indicar que el reembolso se procesa tras revisión y un tiempo estimado (en el ejemplo: 5–10 días hábiles) (paso 4).</t>
  </si>
  <si>
    <t>La sección debe mostrar la regla de que el reembolso se realiza por el mismo método de pago usado en la compra.</t>
  </si>
  <si>
    <t>La sección debe incluir un enlace/acción de “Volver al inicio”.</t>
  </si>
  <si>
    <t>La sección debe mantener el header y footer globales del sitio para navegación consistente.</t>
  </si>
  <si>
    <r>
      <rPr>
        <rFont val="Calibri"/>
        <color theme="1"/>
        <sz val="11.0"/>
      </rPr>
      <t xml:space="preserve">Cumple. </t>
    </r>
    <r>
      <rPr>
        <rFont val="Calibri"/>
        <b/>
        <color theme="1"/>
        <sz val="11.0"/>
      </rPr>
      <t>NOTA:</t>
    </r>
    <r>
      <rPr>
        <rFont val="Calibri"/>
        <color theme="1"/>
        <sz val="11.0"/>
      </rPr>
      <t xml:space="preserve"> Elimine terminos que el usuario no entienda en los requerimientos</t>
    </r>
  </si>
  <si>
    <t>REQUERIMIENTOS NO FUNCIONALES DEVOLUCIONES</t>
  </si>
  <si>
    <t>La página de devoluciones debe ser responsive (usable en móvil y escritorio sin desbordes).</t>
  </si>
  <si>
    <t>El contenido (plazo, condiciones y pasos) debe ser legible: tipografía clara, espaciado suficiente y jerarquía visual (títulos/subtítulos).</t>
  </si>
  <si>
    <t>El contenido debe ser accesible: estructura con encabezados, listas reales (no solo texto), y elementos interactivos (como “Volver al inicio”) accesibles por teclado con foco visible.</t>
  </si>
  <si>
    <t>Los pasos numerados deben ser claros y consistentes (numeración visible, orden correcto, sin ambigüedades).</t>
  </si>
  <si>
    <t>La página debe cargar sin depender de datos dinámicos (al ser contenido informativo) y debe mostrar el contenido completo aun si falla cualquier llamada externa.</t>
  </si>
  <si>
    <t>Los textos deben poder actualizarse sin romper el layout (si cambian plazos, condiciones o número de pasos).</t>
  </si>
  <si>
    <t>El enlace “Volver al inicio” debe ser visible y funcionar correctamente (sin errores de navegación).</t>
  </si>
  <si>
    <t>El contenido debe ser coherente con el resto del sitio (mismos estilos generales, header/footer).</t>
  </si>
  <si>
    <t>Debe evitarse cualquier contradicción interna: plazo, condiciones, pasos y método de reembolso deben presentarse de forma consistente en la misma página.</t>
  </si>
  <si>
    <t>REQUERIMIENTOS FUNCIONALES AYUDA</t>
  </si>
  <si>
    <t>La sección “Centro de Ayuda” debe mostrar un título y una descripción indicando que contiene preguntas frecuentes y recursos.</t>
  </si>
  <si>
    <t>La sección debe mostrar una lista de preguntas frecuentes (FAQ), donde cada ítem tenga una pregunta y una respuesta.</t>
  </si>
  <si>
    <t>Cada pregunta del FAQ no debe poder expandirse/colapsarse para ver u ocultar su respuesta.</t>
  </si>
  <si>
    <t>El FAQ debe incluir, como mínimo, estas preguntas (según lo mostrado): “¿Cómo realizo un pedido?” , “¿Cuáles son los plazos de entrega?”, “¿Puedo cambiar o devolver un producto?”, “¿Cómo contacto a soporte?”</t>
  </si>
  <si>
    <t>La sección debe mostrar una franja o mensaje final del tipo “¿No encuentras lo que buscas?” con un correo de contacto (ej. contacto@compralo.com) para soporte.</t>
  </si>
  <si>
    <t>REQUERIMIENTOS NO FUNCIONALES AYUDA</t>
  </si>
  <si>
    <t>La página del Centro de Ayuda debe cargar y ser usable en navegadores modernos (Chrome/Firefox/Safari/Edge).</t>
  </si>
  <si>
    <t>El contenido (título + FAQ visible) debe renderizarse sin “saltos” visuales notorios (evitar CLS grande al expandir ítems).</t>
  </si>
  <si>
    <t>La interacción de expandir/colapsar una pregunta debe responder de forma inmediata (sin retrasos perceptibles).</t>
  </si>
  <si>
    <t>La sección debe ser responsive: el layout debe verse correctamente en móvil y escritorio sin desbordes de texto.</t>
  </si>
  <si>
    <t>Los ítems del FAQ deben ser accesibles por teclado (tab, enter/space) y con foco visible.</t>
  </si>
  <si>
    <t>Cada pregunta debe tener etiquetas/atributos de accesibilidad adecuados (por ejemplo, aria-expanded) para lectores de pantalla.</t>
  </si>
  <si>
    <t>El contraste de texto (preguntas, respuestas, enlaces) debe ser suficiente para lectura en modo oscuro (WCAG AA como referencia).</t>
  </si>
  <si>
    <t>El correo de contacto debe ser claramente identificable y usable (clicable o copiable) sin ambigüedad.</t>
  </si>
  <si>
    <t>Si el contenido del FAQ es estático, debe entregarse de forma eficiente (sin llamadas innecesarias a la API).</t>
  </si>
  <si>
    <t>El texto del FAQ debe ser consistente y legible, con tamaños de fuente y espaciado que no cansen la lectura.</t>
  </si>
  <si>
    <t>Expandir un ítem no debe romper el scroll: el usuario no debe perder su posición ni “saltar” a otra parte de la página.</t>
  </si>
  <si>
    <t>La sección debe mantener consistencia visual con el resto del sitio (header/footer/estilos).</t>
  </si>
  <si>
    <t>La página debe tolerar conexiones lentas mostrando el contenido base sin depender de recursos pesados.</t>
  </si>
  <si>
    <t>Los textos deben poder actualizarse sin tocar múltiples partes del código (centralización del contenido del FAQ).</t>
  </si>
  <si>
    <t>La sección debe evitar errores silenciosos: si algo falla al renderizar un ítem, debe degradar mostrando al menos el texto básico.</t>
  </si>
  <si>
    <t>REQUERIMIENTOS FUNCIONALES PRENSA</t>
  </si>
  <si>
    <t>La tienda debe exponer una ruta pública /prensa accesible desde el footer mediante el enlace de empresa Prensa.</t>
  </si>
  <si>
    <r>
      <rPr>
        <rFont val="Calibri"/>
        <color theme="1"/>
        <sz val="11.0"/>
      </rPr>
      <t xml:space="preserve">Cumple. </t>
    </r>
    <r>
      <rPr>
        <rFont val="Calibri"/>
        <b/>
        <color theme="1"/>
        <sz val="11.0"/>
      </rPr>
      <t>NOTA:</t>
    </r>
    <r>
      <rPr>
        <rFont val="Calibri"/>
        <color theme="1"/>
        <sz val="11.0"/>
      </rPr>
      <t xml:space="preserve"> Elimine terminos que el usuario no entienda en los requerimientos</t>
    </r>
  </si>
  <si>
    <t>La página /prensa debe mostrar el título principal “Sala de Prensa” y un subtítulo descriptivo indicando que son comunicados y notas de prensa de ejemplo.</t>
  </si>
  <si>
    <t>La sección debe renderizar un listado de comunicados de prensa a partir de una colección de objetos (id, título, fecha, resumen) definida en el frontend.</t>
  </si>
  <si>
    <r>
      <rPr>
        <rFont val="Calibri"/>
        <color theme="1"/>
        <sz val="11.0"/>
      </rPr>
      <t xml:space="preserve">Cumple. </t>
    </r>
    <r>
      <rPr>
        <rFont val="Calibri"/>
        <b/>
        <color theme="1"/>
        <sz val="11.0"/>
      </rPr>
      <t>NOTA:</t>
    </r>
    <r>
      <rPr>
        <rFont val="Calibri"/>
        <color theme="1"/>
        <sz val="11.0"/>
      </rPr>
      <t xml:space="preserve"> Elimine terminos que el usuario no entienda en los requerimientos</t>
    </r>
  </si>
  <si>
    <t>Cada comunicado de prensa debe mostrar al menos: fecha de publicación, título y un resumen breve del contenido.</t>
  </si>
  <si>
    <t>La fecha de cada comunicado debe mostrarse formateada en español de Colombia usando toLocaleDateString("es-CO", { dateStyle: "long" }).</t>
  </si>
  <si>
    <t>Requerimiento no funcional</t>
  </si>
  <si>
    <t>Los comunicados deben presentarse como tarjetas apiladas verticalmente, con borde y fondo diferenciado para cada elemento.</t>
  </si>
  <si>
    <t>La sección debe incluir un texto de contacto para prensa con el correo contacto@compralo.com y la instrucción de usar el asunto “Prensa”.</t>
  </si>
  <si>
    <t>La página debe ofrecer un enlace de navegación “← Volver al inicio” que lleve a la ruta /.</t>
  </si>
  <si>
    <r>
      <rPr>
        <rFont val="Calibri"/>
        <color theme="1"/>
        <sz val="11.0"/>
      </rPr>
      <t xml:space="preserve">Cumple. </t>
    </r>
    <r>
      <rPr>
        <rFont val="Calibri"/>
        <b/>
        <color theme="1"/>
        <sz val="11.0"/>
      </rPr>
      <t>NOTA:</t>
    </r>
    <r>
      <rPr>
        <rFont val="Calibri"/>
        <color theme="1"/>
        <sz val="11.0"/>
      </rPr>
      <t xml:space="preserve"> Elimine terminos que el usuario no entienda en los requerimientos</t>
    </r>
  </si>
  <si>
    <t>REQUERIMIENTOS NO FUNCIONALES PRENSA</t>
  </si>
  <si>
    <t>La página de prensa debe utilizar un layout centrado y legible, con contenedor max-w-4xl, márgenes horizontales (mx-auto, px-4) y espacio vertical (py-10).</t>
  </si>
  <si>
    <t>El diseño de las tarjetas de prensa debe ser coherente con el tema visual de la tienda, usando colores claros/oscuros compatibles (bg-gray-50/50 / dark:bg-gray-800/50, bordes border-gray-200 / dark:border-gray-700).</t>
  </si>
  <si>
    <t>La sección debe ser compatible con modo oscuro, aplicando variantes dark: a textos, bordes y fondos para mantener el contraste.</t>
  </si>
  <si>
    <t>La estructura del listado debe ser semántica y accesible, usando elementos HTML apropiados (&lt;ul&gt;, &lt;li&gt;, &lt;time&gt;, &lt;h2&gt;, &lt;p&gt;) para que lectores de pantalla puedan interpretar correctamente la información.</t>
  </si>
  <si>
    <t>El enlace de vuelta al inicio debe ser claramente identificable como acción navegable (estilo de texto rojo de marca y hover:underline) sin romper el diseño general.</t>
  </si>
  <si>
    <t>REQUERIMIENTOS FUNCIONALES ACERCA DE</t>
  </si>
  <si>
    <t>La sección “Acerca de” debe mostrar un título principal (por ejemplo “Acerca de Compralo”) y un subtítulo descriptivo.</t>
  </si>
  <si>
    <t>La sección debe mostrar el bloque “Nuestra misión” con un texto explicativo configurable.</t>
  </si>
  <si>
    <t>No cumple. No es posible modificar el texto</t>
  </si>
  <si>
    <t>La sección debe mostrar el bloque “Nuestra visión” con un texto explicativo configurable.</t>
  </si>
  <si>
    <t>La sección debe mostrar el bloque “Valores” con una lista de valores (por ejemplo Confianza, Innovación, Compromiso), cada uno con nombre y descripción.</t>
  </si>
  <si>
    <t>La sección debe mostrar el bloque “Equipo directivo” con una lista de integrantes y su rol (por ejemplo CEO, CTO, Directora de Operaciones).</t>
  </si>
  <si>
    <t>La sección debe incluir un enlace o botón “Volver al inicio” que redirija a la home.</t>
  </si>
  <si>
    <t>La sección debe mantener visible y funcional el header global (logo, menú, buscador, carrito, acceso a cuenta) para permitir navegación sin salir de la página.</t>
  </si>
  <si>
    <r>
      <rPr>
        <rFont val="Calibri"/>
        <color theme="1"/>
        <sz val="11.0"/>
      </rPr>
      <t xml:space="preserve">Cumple. </t>
    </r>
    <r>
      <rPr>
        <rFont val="Calibri"/>
        <b/>
        <color theme="1"/>
        <sz val="11.0"/>
      </rPr>
      <t>NOTA:</t>
    </r>
    <r>
      <rPr>
        <rFont val="Calibri"/>
        <color theme="1"/>
        <sz val="11.0"/>
      </rPr>
      <t xml:space="preserve"> Elimine terminos que el usuario no entienda en los requerimientos</t>
    </r>
  </si>
  <si>
    <t>La sección debe incluir el footer global con enlaces a páginas legales, categorías, empresa y atención al cliente.</t>
  </si>
  <si>
    <r>
      <rPr>
        <rFont val="Calibri"/>
        <color theme="1"/>
        <sz val="11.0"/>
      </rPr>
      <t xml:space="preserve">Cumple. </t>
    </r>
    <r>
      <rPr>
        <rFont val="Calibri"/>
        <b/>
        <color theme="1"/>
        <sz val="11.0"/>
      </rPr>
      <t>NOTA:</t>
    </r>
    <r>
      <rPr>
        <rFont val="Calibri"/>
        <color theme="1"/>
        <sz val="11.0"/>
      </rPr>
      <t xml:space="preserve"> Elimine terminos que el usuario no entienda en los requerimientos</t>
    </r>
  </si>
  <si>
    <t>La sección debe resaltar en el menú el ítem correspondiente (por ejemplo “Empresa” o “Acerca de”) cuando el usuario se encuentre en esta página.</t>
  </si>
  <si>
    <t>No cumple. Solo se resalta al colocar el clic encima pero no se mantiene al ingresar a la seccion</t>
  </si>
  <si>
    <t>La sección debe poder mostrar información adicional opcional (historia de la empresa, hitos, métricas, certificaciones) si la instancia lo habilita.</t>
  </si>
  <si>
    <t>No cumple.</t>
  </si>
  <si>
    <t>La sección debe poder incluir enlaces de contacto (email, teléfono, redes).</t>
  </si>
  <si>
    <t>REQUERIMIENTOS NO FUNCIONALES ACERCA DE</t>
  </si>
  <si>
    <t>La página debe cargar el contenido principal en menos de ~3 segundos en conexiones de banda ancha típicas.</t>
  </si>
  <si>
    <t>El layout debe ser totalmente responsivo, adaptándose a móviles, tablets y escritorio sin desbordes ni cortes de texto.</t>
  </si>
  <si>
    <t>Los textos deben mantener legibilidad (tamaños, interlineado, ancho de línea) en distintos tamaños de pantalla.</t>
  </si>
  <si>
    <t>Los encabezados deben seguir una jerarquía semántica correcta (H1, H2, H3) para accesibilidad y SEO.</t>
  </si>
  <si>
    <t>La página debe ser navegable por teclado con foco visible en enlaces y botones.</t>
  </si>
  <si>
    <t>El contraste de texto y elementos debe cumplir al menos con WCAG 2.1 AA.</t>
  </si>
  <si>
    <t>El contenido debe ser localizable (preparado para traducción) sin reestructurar la página.</t>
  </si>
  <si>
    <t>El “Volver al inicio” debe ser accesible (texto claro y/o aria-label descriptivo) y visible sin esfuerzo.</t>
  </si>
  <si>
    <t>La página no debe producir saltos de layout (CLS) notables; el espacio para bloques debe reservarse adecuadamente.</t>
  </si>
  <si>
    <t>Si se usa CMS/configuración para contenidos, debe existir validación para evitar contenido roto (por ejemplo, valores sin título, roles vacíos).</t>
  </si>
  <si>
    <t>El contenido mostrado no debe exponer información sensible (correos internos, datos personales no autorizados).</t>
  </si>
  <si>
    <t>La página debe mantener consistencia visual con el resto del sitio (tipografía, espaciado, componentes, tema claro/oscuro).</t>
  </si>
  <si>
    <t>El componente de selección de variantes debe evitar que el usuario pueda elegir combinaciones inválidas (por ejemplo, color + almacenamiento inexistente) mostrando mensajes claros cuando ocurra.</t>
  </si>
  <si>
    <t>El cambio de variante (por ejemplo seleccionar otro color) debe actualizar de forma reactiva precio, stock, descuento e imagen principal sin recargar toda la página.</t>
  </si>
  <si>
    <t>El rendimiento de la lógica de variantes debe escalar correctamente aunque un producto tenga muchas combinaciones, evitando operaciones costosas en el cliente.</t>
  </si>
  <si>
    <t>REQUERIMIENTOS FUNCIONALES CHAT BOT INFORMATIVO</t>
  </si>
  <si>
    <t>El chatbot informativo debe poder abrirse y cerrarse desde un botón flotante visible en la interfaz sin interferir con otros elementos importantes de la página.</t>
  </si>
  <si>
    <t>Al abrirse, el chatbot debe mostrar un mensaje de bienvenida e imprimir un menú numerado con las opciones: (1) Términos y condiciones, (2) Protección de datos y transacciones, (3) Descuentos activos, (4) Sistema de puntos, (5) Garantías y devoluciones y (6) Salir.</t>
  </si>
  <si>
    <t>El chatbot debe aceptar como entrada un número de opción y responder con un texto explicativo correspondiente a la opción elegida, sin requerir comandos adicionales.</t>
  </si>
  <si>
    <t>Cuando el usuario seleccione la opción “Descuentos activos”, el chatbot debe mostrar un resumen legible de los descuentos actualmente disponibles en la tienda, coherente con la sección de Descuentos.</t>
  </si>
  <si>
    <t>Cuando el usuario seleccione la opción “Sistema de puntos”, el chatbot debe mostrar una explicación clara de cómo se acumulan, consultan y canjean los puntos de fidelidad, coherente con la lógica real del sistema de puntos.</t>
  </si>
  <si>
    <t>El tiempo de apertura del chatbot (desde el clic en el botón hasta que se vea el panel y el menú inicial) no debe exceder aproximadamente 1 segundo en condiciones normales.</t>
  </si>
  <si>
    <t>El chatbot debe cargar de forma perezosa (lazy) sus recursos de UI y texto para no afectar significativamente el tiempo de carga inicial de la página principal.</t>
  </si>
  <si>
    <t>El diseño del panel del chatbot debe ser totalmente responsivo, adaptándose a pantallas móviles, tablets y escritorio sin solaparse con el header, el carrito o otros elementos críticos.</t>
  </si>
  <si>
    <t>Los textos de bienvenida, menú y respuestas deben poder gestionarse desde un fichero de traducciones o configuración para permitir su actualización sin cambios de código.</t>
  </si>
  <si>
    <t>El contenido que el chatbot muestra para cada opción (términos, protección de datos, descuentos, puntos, garantías) debe estar alineado con las secciones legales y de ayuda existentes, evitando contradicciones.</t>
  </si>
  <si>
    <t>El chatbot debe manejar entradas inválidas (por ejemplo, números fuera de rango o texto no reconocido) mostrando un mensaje de error claro y manteniéndose usable sin recargar la página.</t>
  </si>
  <si>
    <t>El componente debe ser accesible mediante teclado (foco en el botón de abrir/cerrar, navegación dentro del panel, envío del mensaje) y compatible con lectores de pantalla.</t>
  </si>
  <si>
    <t>Los colores, tamaños de fuente y contraste del panel y los textos del chatbot deben cumplir al menos el nivel AA de WCAG 2.1.</t>
  </si>
  <si>
    <t>El chatbot no debe registrar ni exponer datos personales sensibles en sus mensajes; solo debe mostrar información estática o agregada sobre políticas y sistemas (descuentos, puntos, garantías).</t>
  </si>
  <si>
    <t>El uso del chatbot debe respetar las preferencias de cookies y privacidad del usuario: no debe activar servicios analíticos o de marketing adicionales si el usuario no ha dado su consentimiento.</t>
  </si>
  <si>
    <t>El widget debe recordar su estado de abierto/cerrado durante la sesión actual sin generar errores si el usuario navega entre páginas compatibles.</t>
  </si>
  <si>
    <t>Los errores internos del chatbot (por ejemplo, fallos al cargar textos configurados) deben registrarse en logs técnicos, pero mostrarse al usuario con un mensaje genérico que no revele detalles internos del sistema.</t>
  </si>
  <si>
    <t>El tamaño del panel y la posición del chatbot deben permitir que el usuario siga viendo suficiente contexto de la página (por ejemplo, parte del contenido de fondo) para entender dónde se encuentra.</t>
  </si>
  <si>
    <t>Cualquier animación de apertura/cierre o transición del chatbot debe ser suave y breve, evitando mareos o distracciones excesivas.</t>
  </si>
  <si>
    <t>El chatbot debe poder desactivarse completamente por configuración de instancia sin dejar elementos rotos en la interfaz (botones huérfanos o errores de JavaScript).</t>
  </si>
  <si>
    <t>REQUERIMIENTOS FUNCIONALES LOGIN/REGISTER</t>
  </si>
  <si>
    <t>La página de login debe permitir al usuario autenticarse introduciendo su correo electrónico y contraseña en un formulario centrado en la pantalla.</t>
  </si>
  <si>
    <t>La página de login debe incluir un enlace “¿Olvidaste tu contraseña?” que lleve al flujo de recuperación de contraseña.</t>
  </si>
  <si>
    <t>La página de login debe incluir un icono o botón para mostrar/ocultar la contraseña introducida.</t>
  </si>
  <si>
    <t>La página de login debe mostrar un enlace “¿No tienes una cuenta? Regístrate” que navegue a la página de registro.</t>
  </si>
  <si>
    <t>Al enviar el formulario de login con credenciales válidas, el sistema debe iniciar sesión al usuario y redirigirlo a la experiencia de tienda configurada (por ejemplo, home o página anterior protegida).</t>
  </si>
  <si>
    <t>La página de registro debe permitir crear una cuenta introduciendo como mínimo: identificación (cédula), nombre, apellido, email, contraseña y teléfono.</t>
  </si>
  <si>
    <t xml:space="preserve">Cumple. </t>
  </si>
  <si>
    <t>La página de registro debe permitir capturar un campo opcional de fecha de nacimiento mediante un selector de fecha.</t>
  </si>
  <si>
    <t>La página de registro debe permitir seleccionar el género del usuario mediante un control de tipo lista desplegable.</t>
  </si>
  <si>
    <t>La página de registro debe mostrar un enlace “¿Ya tienes una cuenta? Inicia sesión” que navegue a la página de login.</t>
  </si>
  <si>
    <t>Tanto en login como en registro, se debe mostrar un texto que indique que al continuar el usuario acepta los Términos de Servicio y la Política de Privacidad, con enlaces que permitan abrir dichas secciones.</t>
  </si>
  <si>
    <t>La página debe mostrar un carrusel o listado de productos recomendados o relacionados (“También te puede gustar”) basados en la misma categoría o reglas de negocio.</t>
  </si>
  <si>
    <t xml:space="preserve">No cumple. </t>
  </si>
  <si>
    <t>La página debe integrarse con la navegación global (breadcrumbs, header, footer), indicando la ruta de navegación (por ejemplo “Inicio &gt; Productos &gt; Smartphones &gt; Galaxy A55 5G”).</t>
  </si>
  <si>
    <t>Requerimiento no funcional.</t>
  </si>
  <si>
    <t>Al completar el formulario de registro, el sistema debe crear el usuario pero dejar la cuenta pendiente de verificación y redirigir al usuario a la página /verify-email?email=....</t>
  </si>
  <si>
    <r>
      <rPr>
        <rFont val="Calibri"/>
        <color theme="1"/>
        <sz val="11.0"/>
      </rPr>
      <t xml:space="preserve">Cumple. </t>
    </r>
    <r>
      <rPr>
        <rFont val="Calibri"/>
        <b/>
        <color theme="1"/>
        <sz val="11.0"/>
      </rPr>
      <t>NOTA:</t>
    </r>
    <r>
      <rPr>
        <rFont val="Calibri"/>
        <color theme="1"/>
        <sz val="11.0"/>
      </rPr>
      <t xml:space="preserve"> Elimine terminos que el usuario no entienda en los requerimientos</t>
    </r>
  </si>
  <si>
    <t>Después del registro, el sistema debe enviar un correo de verificación con un código OTP de 6 dígitos y un enlace directo a la página de verificación (verify_url) usando la plantilla verify_email_otp.html.</t>
  </si>
  <si>
    <t>El correo de verificación debe incluir explícitamente: saludo con el nombre del usuario, el código de 6 dígitos en formato destacado, un botón “Verificar mi email” que apunta a verify_url, el tiempo de expiración del código en minutos y la indicación de que sólo se puede usar una vez.</t>
  </si>
  <si>
    <r>
      <rPr>
        <rFont val="Calibri"/>
        <color theme="1"/>
        <sz val="11.0"/>
      </rPr>
      <t xml:space="preserve">Cumple. </t>
    </r>
    <r>
      <rPr>
        <rFont val="Calibri"/>
        <b/>
        <color theme="1"/>
        <sz val="11.0"/>
      </rPr>
      <t>NOTA:</t>
    </r>
    <r>
      <rPr>
        <rFont val="Calibri"/>
        <color theme="1"/>
        <sz val="11.0"/>
      </rPr>
      <t xml:space="preserve"> Elimine terminos que el usuario no entienda en los requerimientos</t>
    </r>
  </si>
  <si>
    <t>La página de verificación (VerifyEmailForm) debe leer el email desde el parámetro de la URL, mostrarlo al usuario y permitir ingresar el código OTP de 6 dígitos mediante un componente de tipo Input OTP.</t>
  </si>
  <si>
    <t>Al enviar el formulario de verificación, el sistema debe enviar el email y el código al endpoint /verify-email-otp, y si la verificación es correcta, activar la cuenta y autenticar automáticamente al usuario, devolviendo tokens de acceso y refresco (login automático).</t>
  </si>
  <si>
    <t>Si el código es incorrecto, está incompleto o ha expirado, la página de verificación debe mostrar un mensaje de error claro e indicar al usuario que revise el correo o se registre de nuevo.</t>
  </si>
  <si>
    <t>REQUERIMIENTOS NO FUNCIONALES LOGIN/REGISTER</t>
  </si>
  <si>
    <t>El formulario de login debe cargarse visualmente en menos de ~2 segundos en conexiones de banda ancha típicas.</t>
  </si>
  <si>
    <t>El formulario de registro debe cargarse en un tiempo similar al de login, evitando retrasos perceptibles al navegar entre ambas pantallas.</t>
  </si>
  <si>
    <t>Las llamadas al backend para autenticar o registrar usuarios deben mantener un tiempo de respuesta aceptable (p.ej. P95 &lt; 500 ms bajo carga normal).</t>
  </si>
  <si>
    <t>Los campos de email en login y registro deben validar el formato básico de correo antes de enviar la solicitud al servidor, mostrando mensajes de error claros en caso de formato inválido.</t>
  </si>
  <si>
    <t>Los campos obligatorios en el formulario de registro (identificación, nombre, apellido, email, contraseña, teléfono) deben indicar visualmente su obligatoriedad y bloquear el envío si están vacíos.</t>
  </si>
  <si>
    <t>Los mensajes de error de validación deben aparecer cerca de los campos correspondientes y ser comprensibles para usuarios no técnicos.</t>
  </si>
  <si>
    <t>La contraseña no debe mostrarse en texto plano por defecto; el botón de mostrar/ocultar debe alternar el tipo de campo sin recargar la página.</t>
  </si>
  <si>
    <t>El contenido del campo de contraseña no debe copiarse automáticamente al portapapeles ni mostrarse en atributos inseguros del HTML.</t>
  </si>
  <si>
    <t>La longitud mínima y reglas básicas de complejidad de la contraseña deben validarse en el cliente y en el servidor, devolviendo errores específicos.</t>
  </si>
  <si>
    <t>La funcionalidad “¿Olvidaste tu contraseña?” debe manejarse mediante un flujo que no revele si un email existe o no en el sistema (por ejemplo, siempre mostrando un mensaje genérico de envío si el formato es válido).</t>
  </si>
  <si>
    <t>Las solicitudes de recuperación de contraseña deben estar protegidas frente a abuso mediante limitaciones razonables de frecuencia por dirección IP y por correo.</t>
  </si>
  <si>
    <t>Los enlaces enviados para restablecer contraseña deben tener una caducidad definida y no ser reutilizables una vez usados.</t>
  </si>
  <si>
    <t>Los errores de autenticación (credenciales incorrectas, cuenta bloqueada, etc.) deben mostrarse con mensajes genéricos y no deben revelar detalles innecesarios del estado interno de la cuenta.</t>
  </si>
  <si>
    <t>Después de varios intentos fallidos de login (según la política global de seguridad), el sistema debe poder aplicar medidas de protección definidas (por ejemplo, incrementar el tiempo de respuesta o delegar en un rate‑limit central), sin romper la UI.</t>
  </si>
  <si>
    <t>Las respuestas de error del backend deben mapearse a mensajes de interfaz consistentes y localizables.</t>
  </si>
  <si>
    <t>Los datos personales enviados en los formularios (identificación, nombre, teléfono, etc.) deben transmitirse siempre a través de conexiones cifradas (HTTPS).</t>
  </si>
  <si>
    <t>Las contraseñas nunca deben almacenarse en texto plano en la base de datos; deben ser hashadas conforme a la política global de seguridad del proyecto.</t>
  </si>
  <si>
    <t>Los tokens o sesiones resultantes del login deben manejarse mediante los mecanismos definidos en el backend (JWT/cookies seguras) sin exponerlos en lugares accesibles a scripts de terceros no confiables.</t>
  </si>
  <si>
    <t>Las páginas de login y registro deben ser completamente responsivas, centrando el card de autenticación en pantallas grandes y adaptándolo correctamente a móviles (sin necesidad de hacer zoom).</t>
  </si>
  <si>
    <t>Todos los controles (inputs, botones, enlaces) deben ser accesibles por teclado y tener estados de foco visibles.</t>
  </si>
  <si>
    <t>Los textos, mensajes de error y etiquetas de campos deben ser legibles con el contraste de colores utilizado y cumplir al menos nivel AA de WCAG 2.1.</t>
  </si>
  <si>
    <t>Las páginas de login y registro deben integrarse con el header y footer globales sin duplicar menús de navegación que distraigan del objetivo principal (autenticarse o registrarse), manteniendo el botón “Volver” disponible.</t>
  </si>
  <si>
    <t>Las rutas de login y registro deben evitar bucles de redirección (por ejemplo, si el usuario ya está autenticado, redirigirle a una vista adecuada en lugar de mostrar de nuevo el formulario).</t>
  </si>
  <si>
    <t>La navegación entre login y registro mediante los enlaces “Regístrate” y “Inicia sesión” debe preservar, cuando sea posible, información no sensible (por ejemplo, email ya escrito) para mejorar la experiencia.</t>
  </si>
  <si>
    <t>Los textos legales que se muestran en la parte inferior del card (referencia a Términos y Política de Privacidad) deben estar vinculados a las páginas correspondientes mediante enlaces funcionales y mantenerse sincronizados con las versiones actuales de dichas políticas.</t>
  </si>
  <si>
    <t>Todos los textos de las pantallas de login y registro (etiquetas, placeholders, mensajes) deben poder traducirse sin modificar la lógica de la página.</t>
  </si>
  <si>
    <t>Las páginas deben manejar correctamente estados de carga (spinner, deshabilitar botón) al enviar el formulario para evitar envíos múltiples accidentales.</t>
  </si>
  <si>
    <t>El endpoint /verify-email-otp debe estar protegido por limitador de peticiones (por ejemplo 10/minute) para reducir intentos de fuerza bruta sobre el código OTP.</t>
  </si>
  <si>
    <t>El código OTP enviado por correo debe tener una validez limitada en el tiempo (minutos configurables) y ser de un solo uso, de modo que una vez verificado no pueda reutilizarse.</t>
  </si>
  <si>
    <t>El correo de verificación OTP debe enviarse usando plantillas HTML dedicadas y Resend, manteniendo un diseño consistente con el resto de correos de autenticación (bienvenida, reset de contraseña, etc.).</t>
  </si>
  <si>
    <t>La página de verificación debe validar en el frontend que el código tenga exactamente 6 dígitos numéricos antes de llamar al backend, evitando solicitudes innecesarias.</t>
  </si>
  <si>
    <t>Si falta el parámetro email en la URL de verificación, la página debe mostrar un estado de error guiando al usuario (por ejemplo, indicándole que use el enlace del correo y ofreciendo volver a inicio de sesión).</t>
  </si>
  <si>
    <t>Ante errores de verificación, los mensajes devueltos al usuario deben ser seguros y genéricos (“código inválido o expirado”) sin revelar detalles internos de validación o del almacenamiento de OTP</t>
  </si>
  <si>
    <t>REQUERIMIENTOS FUNCIONALES PRODUCT</t>
  </si>
  <si>
    <t>La página de producto debe mostrar una galería principal de imágenes del producto, permitiendo cambiar entre miniaturas y ver cada imagen en mayor tamaño.</t>
  </si>
  <si>
    <r>
      <rPr>
        <rFont val="Calibri"/>
        <color theme="1"/>
        <sz val="11.0"/>
      </rPr>
      <t xml:space="preserve">Cumple. </t>
    </r>
    <r>
      <rPr>
        <rFont val="Calibri"/>
        <b/>
        <color theme="1"/>
        <sz val="11.0"/>
      </rPr>
      <t xml:space="preserve">NOTA: </t>
    </r>
    <r>
      <rPr>
        <rFont val="Calibri"/>
        <color theme="1"/>
        <sz val="11.0"/>
      </rPr>
      <t>Las flechas para cambiar de imgen casi no se ven</t>
    </r>
  </si>
  <si>
    <t>La página debe mostrar claramente el nombre del producto, la marca, la categoría y el proveedor asociado.</t>
  </si>
  <si>
    <t>La página debe mostrar el rango de precios del producto cuando existan múltiples variantes (por ejemplo “Desde $650.000 – $750.000”) y el precio exacto de la variante seleccionada.</t>
  </si>
  <si>
    <t>La página debe indicar el estado de disponibilidad del producto (por ejemplo “En stock”, “Agotado”) y la cantidad de unidades disponibles cuando aplique.</t>
  </si>
  <si>
    <t>No cumple. El estado no cambia</t>
  </si>
  <si>
    <t>La página debe permitir seleccionar atributos de variante (por ejemplo color, almacenamiento, RAM u otros) antes de añadir el producto al carrito.</t>
  </si>
  <si>
    <t>El botón de “Añadir al carrito” debe estar deshabilitado mientras no se hayan seleccionado todas las opciones obligatorias de la variante.</t>
  </si>
  <si>
    <t>No cumple. Se pueden dejar atributos sin seleccionar y al momento de agregar al carrito se le 
añade uno predeterminado</t>
  </si>
  <si>
    <t>La página debe mostrar, cuando exista, la información de descuento aplicada a la variante seleccionada (precio original tachado, porcentaje o monto de descuento y precio final).</t>
  </si>
  <si>
    <t>La página debe permitir marcar o desmarcar el producto como favorito mediante un control visible (por ejemplo un ícono de corazón) para usuarios autenticados.</t>
  </si>
  <si>
    <t>La página debe mostrar una sección de información adicional del producto (descripción, especificaciones técnicas, ficha de stock, estado, etc.).</t>
  </si>
  <si>
    <t>La página debe mostrar una sección de comentarios o reseñas de clientes, con la posibilidad de que usuarios elegibles puedan añadir una reseña desde su historial de órdenes.</t>
  </si>
  <si>
    <r>
      <rPr>
        <rFont val="Calibri"/>
        <color theme="1"/>
        <sz val="11.0"/>
      </rPr>
      <t xml:space="preserve">Cumple. </t>
    </r>
    <r>
      <rPr>
        <rFont val="Calibri"/>
        <b/>
        <color theme="1"/>
        <sz val="11.0"/>
      </rPr>
      <t xml:space="preserve">NOTA: </t>
    </r>
    <r>
      <rPr>
        <rFont val="Calibri"/>
        <color theme="1"/>
        <sz val="11.0"/>
      </rPr>
      <t>Revisar redaccion del requerimiento</t>
    </r>
  </si>
  <si>
    <r>
      <rPr>
        <rFont val="Calibri"/>
        <color theme="1"/>
        <sz val="11.0"/>
      </rPr>
      <t xml:space="preserve">No cumple. La ruta de navegacion no existe. </t>
    </r>
    <r>
      <rPr>
        <rFont val="Calibri"/>
        <b/>
        <color theme="1"/>
        <sz val="11.0"/>
      </rPr>
      <t>NOTA:</t>
    </r>
    <r>
      <rPr>
        <rFont val="Calibri"/>
        <color theme="1"/>
        <sz val="11.0"/>
      </rPr>
      <t xml:space="preserve"> Elimine terminos que el usuario no entienda en 
los requerimientos</t>
    </r>
  </si>
  <si>
    <t>REQUERIMIENTOS NO FUNCIONALES PRODUCT</t>
  </si>
  <si>
    <t>La página de producto debe cargar el contenido principal (imagen destacada, nombre y precio) en menos de ~3 segundos en conexiones de banda ancha típicas.</t>
  </si>
  <si>
    <t>Las imágenes de la galería deben estar optimizadas (compresión, tamaños adaptativos, uso de formatos modernos cuando sea posible) para minimizar el peso total de la página.</t>
  </si>
  <si>
    <t>La galería debe usar lazy loading para imágenes que no sean visibles inicialmente (por ejemplo, miniaturas lejanas o imágenes del carrusel de recomendados).</t>
  </si>
  <si>
    <t>El diseño de la sección superior (galería + información básica) debe ser completamente responsivo, apilando los elementos en una sola columna en móvil y presentándolos en dos columnas en pantallas grandes.</t>
  </si>
  <si>
    <t>Los controles de navegación de la galería (flechas, miniaturas) deben ser fácilmente accesibles por teclado y anunciables correctamente por lectores de pantalla.</t>
  </si>
  <si>
    <t>El cambio entre imágenes de la galería debe ser fluido y no provocar saltos de layout o reflujo excesivo del contenido.</t>
  </si>
  <si>
    <t>La consulta que obtiene la información detallada del producto (datos generales, variantes, stock) debe estar indexada por identificador de producto/slug para garantizar bajas latencias.</t>
  </si>
  <si>
    <t>La información de stock disponible debe recuperarse de forma consistente con la BD y/o caché, evitando mostrar valores obsoletos tras operaciones de carrito/orden.</t>
  </si>
  <si>
    <t>El cálculo del rango de precios (mínimo y máximo) para productos con múltiples variantes debe realizarse con consultas agregadas optimizadas y/o precalculadas.</t>
  </si>
  <si>
    <t>Los bloques de texto principales (nombre, descripción, especificaciones) deben ser legibles, con tamaños de fuente y contrastes que cumplan al menos nivel AA de WCAG 2.1.</t>
  </si>
  <si>
    <t>La jerarquía de encabezados (h1, h2, etc.) en la página de producto debe ser coherente para facilitar la navegación con tecnologías de asistencia.</t>
  </si>
  <si>
    <t>Todas las etiquetas de formularios y controles (selección de color, almacenamiento, RAM, etc.) deben contar con label o atributos aria apropiados.</t>
  </si>
  <si>
    <t>Requerimientos separados por saltos de linea:</t>
  </si>
  <si>
    <t>El sistema debe mostrar la sección “Analytics Avanzados” dentro del dashboard de admin.
La sección debe incluir un botón “Actualizar” para refrescar los datos mostrados.
La sección debe tener pestañas para cambiar de vista entre: Conversión, Tráfico, Clientes y Productos.
En la vista Conversión, el sistema debe mostrar una tarjeta con la Tasa de conversión (porcentaje).
En la vista Conversión, el sistema debe mostrar una tarjeta con el Valor promedio de orden.
En la vista Conversión, el sistema debe mostrar una tarjeta con el Total de órdenes.
En la vista Conversión, el sistema debe mostrar una tarjeta con Ingresos totales.
En la vista Conversión, el sistema debe mostrar un bloque de Performance por categoría con:
Gráfico de participación por categoría (tipo dona)
Gráfico de ventas por categoría (barras)
Un ranking/lista por categoría con su valor (ventas)
En la vista Tráfico, el sistema debe mostrar un gráfico de Tráfico por horas (órdenes por hora del día, “últimos 30 días”).
En la vista Tráfico, el sistema debe mostrar indicadores de Pico y Valle (hora y cantidad).
En la vista Tráfico, el sistema debe mostrar el Promedio de órdenes/hora.
En la vista Tráfico, el sistema debe mostrar un módulo de Ventas por región con listado de regiones y valores (órdenes y monto).
En la vista Clientes, el sistema debe mostrar el bloque Demografía de clientes con distribución por rangos de edad.
En la vista Clientes, el sistema debe mostrar un módulo de Ventas por región (mismo tipo de bloque visible).
En la vista Productos, el sistema debe mostrar un módulo “Métricas de productos” que incluya:
Productos activos
Productos inactivos
Sin stock
Precio promedio
Rating promedio
En la vista Productos, el sistema debe mostrar el bloque de Performance por categoría (participación/ventas) y el ranking por categoría.
Los valores monetarios mostrados en tarjetas y gráficos deben presentarse con símbolo de moneda y separadores de miles (como se ve en la UI).</t>
  </si>
  <si>
    <t>Nombre de la hoja:</t>
  </si>
  <si>
    <t>Funcionales analiticas</t>
  </si>
  <si>
    <t>Requerimientos funcionales (botón de ayuda del admin)</t>
  </si>
  <si>
    <t>El dashboard de admin debe mostrar un botón de ayuda (ícono tipo “?”) en la barra superior (AdminHeader).</t>
  </si>
  <si>
    <t>El botón de ayuda debe tener un nombre accesible (por ejemplo aria-label="Ayuda y recorridos").</t>
  </si>
  <si>
    <t>Al hacer clic en el botón de ayuda, el sistema debe iniciar un recorrido guiado (tour) del panel usando driver.js.</t>
  </si>
  <si>
    <t>Si el usuario está en una sección específica del admin, el botón de ayuda debe iniciar el tour de esa sección (tour contextual).</t>
  </si>
  <si>
    <t>Si el usuario está en el dashboard principal u otra ruta sin tour contextual, el botón de ayuda debe iniciar el tour general del admin.</t>
  </si>
  <si>
    <t>El tour general debe incluir pasos que apunten como mínimo a:</t>
  </si>
  <si>
    <t>La navegación lateral (data-tour-id="admin-sidebar"),</t>
  </si>
  <si>
    <t>La barra superior (data-tour-id="admin-header"),</t>
  </si>
  <si>
    <t>Elementos principales del dashboard (KPIs y gráficas) cuando existan (data-tour-id="admin-dashboard-kpis", data-tour-id="admin-dashboard-charts").</t>
  </si>
  <si>
    <t>El tour contextual debe existir (según ruta) al menos para estas secciones, porque están definidas en el código:</t>
  </si>
  <si>
    <t>Órdenes (/admin/orders)</t>
  </si>
  <si>
    <t>Productos listado (/admin/products)</t>
  </si>
  <si>
    <t>Crear producto (/admin/products/create)</t>
  </si>
  <si>
    <t>Categorías/Líneas/Sublíneas (/admin/categories, /admin/lines, /admin/sublines)</t>
  </si>
  <si>
    <t>Atributos (/admin/attributes)</t>
  </si>
  <si>
    <t>Marcas (/admin/brands)</t>
  </si>
  <si>
    <t>Proveedores (/admin/providers)</t>
  </si>
  <si>
    <t>Usuarios (/admin/users)</t>
  </si>
  <si>
    <t>Descuentos (/admin/discounts)</t>
  </si>
  <si>
    <t>Puntos (/admin/points)</t>
  </si>
  <si>
    <t>Barra informativa (/admin/info-bar)</t>
  </si>
  <si>
    <t>Analíticas (/admin/analytics)</t>
  </si>
  <si>
    <t>El botón de ayuda debe decidir qué tour ejecutar a partir de la ruta actual (pathname) sin depender de querystring o fragmentos (normalizando la URL).</t>
  </si>
  <si>
    <t>El tour debe mostrar textos de ayuda (título y descripción) en cada paso para orientar al administrador sobre la sección y sus componentes.</t>
  </si>
  <si>
    <t>Requerimientos no funcionales (botón de ayuda del admin)</t>
  </si>
  <si>
    <t>El botón de ayuda debe ser consistente con el diseño del dashboard (estilo de botón, tamaño “icon”, variante outline).</t>
  </si>
  <si>
    <t>El botón de ayuda debe ser usable con teclado (foco visible y activación por Enter/Espacio).</t>
  </si>
  <si>
    <t>El tour debe ser estable: si un selector data-tour-id="..." no existe en la pantalla actual, el sistema no debe romper la UI (debe manejarse de forma segura).</t>
  </si>
  <si>
    <t>El inicio del tour debe ser rápido y dar feedback inmediato al usuario (apertura del popover del primer paso sin demoras perceptibles).</t>
  </si>
  <si>
    <t>El texto del tour debe estar en español y ser claro para usuarios no técnicos.</t>
  </si>
  <si>
    <t>El tour no debe bloquear permanentemente la navegación; el usuario debe poder cerrarlo cuando lo necesite.</t>
  </si>
  <si>
    <t>El tour debe ser compatible con el layout “inset/sidebar” del admin y no generar problemas de superposición que impidan leer los popovers.</t>
  </si>
  <si>
    <t>El botón/tour debe funcionar únicamente dentro del área protegida de admin (está envuelto por AdminGuard), evitando exposición en rutas públicas.</t>
  </si>
  <si>
    <t>REQUERIMIENTOS FUNCIONALES CARRITO</t>
  </si>
  <si>
    <t>El sistema debe crear u obtener automáticamente un carrito para el usuario (anónimo o autenticado) al acceder a la tienda.</t>
  </si>
  <si>
    <t>El sistema debe mostrar el listado de productos del carrito con nombre, imagen, cantidad, precio, subtotal y, cuando aplique, información de descuentos (precio original tachado, precio con descuento, porcentaje).</t>
  </si>
  <si>
    <t>El sistema debe permitir incrementar y disminuir la cantidad de cada producto tanto desde la página de carrito como desde el mini‑carrito (hover), respetando que la cantidad mínima es 1 y sin superar el stock disponible.</t>
  </si>
  <si>
    <r>
      <rPr>
        <rFont val="Calibri"/>
        <color theme="1"/>
        <sz val="11.0"/>
      </rPr>
      <t xml:space="preserve">Cumple. </t>
    </r>
    <r>
      <rPr>
        <rFont val="Calibri"/>
        <b/>
        <color theme="1"/>
        <sz val="11.0"/>
      </rPr>
      <t>NOTA:</t>
    </r>
    <r>
      <rPr>
        <rFont val="Calibri"/>
        <color theme="1"/>
        <sz val="11.0"/>
      </rPr>
      <t xml:space="preserve"> Elimine terminos que el usuario no entienda en los requerimientos</t>
    </r>
  </si>
  <si>
    <t>El sistema debe permitir eliminar productos del carrito desde la página de carrito y desde el mini‑carrito.</t>
  </si>
  <si>
    <t>No cumple, no se pueden eliminar productos desde el mini-carrito</t>
  </si>
  <si>
    <t>El sistema debe migrar/sincronizar el carrito anónimo con la cuenta del usuario cuando este inicia sesión, manteniendo los productos que tenía agregados (comportamiento descrito en el banner “Tu carrito se sincroniza automáticamente.”).</t>
  </si>
  <si>
    <t>El sistema debe validar un límite máximo de valor total del carrito (CART_LIMITS.MAX_TOTAL) y bloquear operaciones de agregado o aumento de cantidad que excedan ese límite, mostrando un mensaje de error claro. (Por Ejm $20.000.000)</t>
  </si>
  <si>
    <r>
      <rPr>
        <rFont val="Calibri"/>
        <color theme="1"/>
        <sz val="11.0"/>
      </rPr>
      <t xml:space="preserve">Cumple. </t>
    </r>
    <r>
      <rPr>
        <rFont val="Calibri"/>
        <b/>
        <color theme="1"/>
        <sz val="11.0"/>
      </rPr>
      <t>NOTA:</t>
    </r>
    <r>
      <rPr>
        <rFont val="Calibri"/>
        <color theme="1"/>
        <sz val="11.0"/>
      </rPr>
      <t xml:space="preserve"> Elimine terminos que el usuario no entienda en los requerimientos</t>
    </r>
  </si>
  <si>
    <t>El sistema debe permitir aplicar un código promocional sobre el carrito actual, validándolo en el backend (validateDiscountForCart) y, si es válido, guardar el código en sessionStorage y compartirlo con otras vistas (mini‑carrito) mediante el evento discountCodeChanged.</t>
  </si>
  <si>
    <t>El sistema debe permitir remover un código promocional aplicado, limpiando el estado del descuento, eliminando el código de sessionStorage y notificando al usuario con un mensaje de éxito.</t>
  </si>
  <si>
    <t>No cumple, no se pudo comprobar, el sistema no permite agregar cupones</t>
  </si>
  <si>
    <t>El sistema debe calcular y mostrar el resumen del pedido en el carrito, incluyendo al menos: subtotal original, descuentos (automáticos, por código, por canje de puntos), envío, total a pagar y, cuando aplique, información de puntos canjeados o ganados.</t>
  </si>
  <si>
    <t>El sistema debe mostrar productos recomendados en la sección “También te puede gustar”, obteniéndolos desde el backend a partir de las categorías de los productos del carrito (incluyendo subcategorías) y excluyendo los productos ya presentes en el carrito.</t>
  </si>
  <si>
    <t>No cumple, la seccion se encuentra vacia. NOTA: Elimine terminos que el usuario no entienda en 
los requerimientos</t>
  </si>
  <si>
    <t>REQUERIMIENTOS NO FUNCIONALES CARRITO</t>
  </si>
  <si>
    <t>El carrito debe mantener una sesión estable para usuarios anónimos, reutilizando un session_id generado una sola vez por dispositivo/sesión de navegador para evitar recrear el carrito en cada render.</t>
  </si>
  <si>
    <t>Las consultas al backend para crear/obtener el carrito deben tener una política de caché adecuada (staleTime de varios minutos) y no re‑ejecutarse en cada foco de ventana (refetchOnWindowFocus: false) para mejorar el rendimiento.</t>
  </si>
  <si>
    <t>Las consultas para productos y totales del carrito deben tratar los errores 400 Bad Request como carrito vacío y no reintentar indefinidamente, evitando saturar el backend y bloqueos en la UI.</t>
  </si>
  <si>
    <t>Cuando el total del carrito exceda el límite configurado, el sistema debe mostrar un mensaje de error contextual y descriptivo (por ejemplo, indicando el total actual y el máximo permitido) mediante notificaciones (toast.error).</t>
  </si>
  <si>
    <t>La migración de carrito anónimo a usuario autenticado debe manejar errores de forma robusta, registrando errores en consola, mostrando mensajes de fallo al usuario y permitiendo reintentos sin dejar el carrito en un estado inconsistente.</t>
  </si>
  <si>
    <t>El mini‑carrito debe ser ligero y rápido, cargando solo hasta un número acotado de ítems (por ejemplo, los primeros 6) y usando un área scrollable para listas largas, evitando que el hover bloquee la vista.</t>
  </si>
  <si>
    <t>El mini‑carrito debe controlar las acciones de cantidad para no enviar actualizaciones mientras un ítem tiene un ID temporal (optimistic update) o hay una actualización en curso, previniendo estados corruptos y doble clic.</t>
  </si>
  <si>
    <t>El cálculo de precios con descuentos en el mini‑carrito debe reutilizar utilidades comunes (getApplicableDiscount, calculateDiscountedPrice, calculateDiscountPercentage) para garantizar consistencia con la página de carrito y otras vistas.</t>
  </si>
  <si>
    <t>Todas las cantidades y precios del carrito deben mostrarse con formateo localizado (por ejemplo, toLocaleString('es-CO') o formatPrice) para mejorar la legibilidad y reducir errores de interpretación.</t>
  </si>
  <si>
    <t>Al aplicar un código de descuento, el sistema debe distinguir claramente entre errores de código inexistente (404), código no aplicable (400) y fallos generales del servidor, mostrando mensajes específicos para cada caso.</t>
  </si>
  <si>
    <t>El mecanismo de sincronización del código de descuento (sessionStorage + eventos storage y discountCodeChanged) debe ser tolerante a fallos: si la validación remota falla, el descuento debe descartarse sin romper el mini‑carrito.</t>
  </si>
  <si>
    <t>Las consultas de canjes y descuentos disponibles para el usuario deben estar habilitadas solo cuando exista id_usuario, evitando errores 401 innecesarios en usuarios anónimos.</t>
  </si>
  <si>
    <t>El cálculo combinado de descuentos (automáticos, por código y por canje de puntos) debe ser determinista y reproducible, aplicando siempre el mismo orden de operaciones para garantizar totales coherentes.</t>
  </si>
  <si>
    <t>El subtotal “original” y el subtotal con descuentos deben calcularse de forma numéricamente estable, convirtiendo explícitamente valores a número (Number(...)) para evitar errores por strings u otros tipos.</t>
  </si>
  <si>
    <t>El componente de carrito debe mostrar estados claros de carga y error (“Cargando carrito…”, “Error al cargar el carrito”) y ofrecer acciones de reintento cuando sea posible.</t>
  </si>
  <si>
    <t>Las imágenes de productos en el mini‑carrito deben usar contenedores con tamaño fijo y modo object-cover o equivalente para evitar saltos de layout al cargar imágenes.</t>
  </si>
  <si>
    <t>Los textos del carrito (títulos, subtítulos, etiquetas de botones) deben mantenerse centralizados en una estructura de textos (cartTexts.es) para facilitar cambios y futuras traducciones.</t>
  </si>
  <si>
    <t>Los botones de acción del carrito (incrementar, decrementar, eliminar, aplicar código, pagar) deben tener etiquetas y estados de deshabilitado coherentes para evitar acciones no válidas (por ejemplo, no permitir decrementar por debajo de 1 o aplicar código mientras se está validando).</t>
  </si>
  <si>
    <t>La lógica de “productos relacionados” debe limitar el número máximo de productos mostrados (por ejemplo, slice(0, 8)) para no sobrecargar la página ni distraer del flujo principal de compra.</t>
  </si>
  <si>
    <t>Las consultas de “productos relacionados” deben usar parámetros de paginación y orden (limit, offset, ordenar_por) para optimizar el acceso a la base de datos y evitar traer catálogos completos innecesariamente.</t>
  </si>
  <si>
    <t>El carrito debe ser resiliente a datos incompletos: cuando falten ciertos campos (por ejemplo category_id vs id_categoria_producto, image_url vs img_producto), la lógica debe manejar ambos nombres o mostrar estados de reserva (“IMG”).</t>
  </si>
  <si>
    <t>El manejo de descuentos específicos por producto/categoría/marca/ línea/sublínea debe estar tipado y centralizado, evitando comparar IDs con tipos inconsistentes (usando toString() cuando sea necesario) para no aplicar descuentos erróneamente.</t>
  </si>
  <si>
    <t>El componente de carrito debe evitar refetch redundantes configurando apropiadamente staleTime, refetchOnMount y retry en las queries, reduciendo carga en el backend.</t>
  </si>
  <si>
    <t>En caso de que el carrito esté vacío, la interfaz debe mostrar un estado vacío claro (“Tu carrito está vacío”) en lugar de una pantalla en blanco, ayudando al usuario a entender la situación.</t>
  </si>
  <si>
    <t>El uso de toast para errores y éxitos en el carrito debe evitar revelar detalles internos (por ejemplo, mensajes crudos del backend), mostrando textos amigables y seguros.</t>
  </si>
  <si>
    <t>La lógica de canje de puntos aplicada al carrito debe distribuir correctamente descuentos de monto fijo de forma proporcional entre los ítems, garantizando que el total por ítem y el total general coincidan con los valores calculados por el backend.</t>
  </si>
  <si>
    <t>El cálculo del porcentaje total de descuento combinado (descuentos + canje) debe mantener redondeos consistentes (Math.round) para no mostrar diferencias de centavos entre detalle e interfaces de pago.</t>
  </si>
  <si>
    <t>El componente de carrito debe estar preparado para funcionar en modo dark (clases dark: en contenedores, bordes y textos) sin perder legibilidad ni contraste.</t>
  </si>
  <si>
    <t>El mini‑carrito debe respetar límites de ancho y alto (max-w, maxHeight, 85vh) para que la tarjeta no sobresalga de la ventana y mantenga una buena experiencia en diferentes tamaños de pantalla.</t>
  </si>
  <si>
    <t>Todas las interacciones del carrito (cambios de cantidad, eliminación, aplicación de descuento) deben ser rápidas y reactivas, actualizando de inmediato el estado en pantalla y sólo luego sincronizando con el backend cuando sea necesario, para que la experiencia se sienta fluida.</t>
  </si>
  <si>
    <t>El sistema debe crear u obtener automáticamente un carrito para el usuario (anónimo o autenticado) al acceder a la tienda, usando un session_id para invitados y id_usuario cuando hay sesión iniciada.</t>
  </si>
  <si>
    <t>REQUERIMIENTOS FUNCIONALES CHECKOUT</t>
  </si>
  <si>
    <t>El sistema debe permitir al usuario seleccionar o crear una dirección de envío en el paso de información del checkout (lista desplegable de direcciones guardadas + opción “Nueva”).</t>
  </si>
  <si>
    <t>El formulario de nueva dirección debe permitir capturar al menos: nombre, apellidos, dirección principal, complemento, país, departamento, ciudad/localidad, código postal, barrio y teléfono/celular.</t>
  </si>
  <si>
    <t>No cumple. El formulario no contiene nombre, apellidos, pais y telefono</t>
  </si>
  <si>
    <t>El sistema debe validar que todos los campos obligatorios de dirección estén completos y mostrar mensajes de error claros cuando falte información o el formato sea inválido.</t>
  </si>
  <si>
    <t>No cumple. El sistema no valida que los campos tengan el formato requerido</t>
  </si>
  <si>
    <t>El sistema debe permitir elegir un método de entrega (por ejemplo “Enviar pedido” o “Recoger pedido”) o mostrar solo las opciones configuradas para la instancia.</t>
  </si>
  <si>
    <t>No cumple. La seccion esta desabilitada y no se puede seleccionar ninguna de las opciones</t>
  </si>
  <si>
    <t>El sistema debe construir y mostrar un resumen del pedido en el checkout, con: producto(s), cantidad, variantes/opciones, subtotal, costo de envío y total general.</t>
  </si>
  <si>
    <t>No cumple. En el resumen del pedido del checkout no se muestra la cantidad comprada de cada 
producto</t>
  </si>
  <si>
    <t>El sistema debe permitir al usuario avanzar desde el paso de información/dirección al paso de pago solo si la dirección y el método de entrega son válidos.</t>
  </si>
  <si>
    <t>En el paso de pago, el sistema debe permitir seleccionar un método de pago principal (por ejemplo “Pago en línea con Wompi”) y mostrar los medios aceptados (PSE, VISA, AMEX, etc.).</t>
  </si>
  <si>
    <t>El sistema debe permitir indicar si la dirección de facturación coincide con la de envío o, en caso contrario, capturar una nueva dirección de facturación.</t>
  </si>
  <si>
    <t>No cumple. El sistema no permite agregar una nueva direccion de facturación</t>
  </si>
  <si>
    <t>Al hacer clic en “Continuar con el pago”, el sistema debe crear o actualizar una orden en estado pendiente en la base de datos, asociada al usuario y al carrito, antes de redirigir al proveedor de pago.</t>
  </si>
  <si>
    <t>El sistema debe redirigir al usuario a la plataforma de pagos Wompi (u otra pasarela) con los datos necesarios: monto total, moneda, referencia única de la orden y URL de retorno / webhook configurados.</t>
  </si>
  <si>
    <t>Tras finalizar el flujo en Wompi (éxito, fallo o cancelación), el sistema debe procesar la respuesta de la pasarela (retorno por URL y/o webhook), validar la firma y actualizar el estado del pago y de la orden.</t>
  </si>
  <si>
    <t>Cuando el pago sea exitoso, el sistema debe mostrar una página de resultado de pago con mensaje de éxito, monto pagado, referencia de transacción, fecha/hora y un enlace para ver el detalle de la orden.</t>
  </si>
  <si>
    <t>Si el pago falla o el usuario cancela en la pasarela, el sistema debe mostrar una página de resultado de error/cancelación con mensaje claro y opción para reintentar el pago o volver al carrito.</t>
  </si>
  <si>
    <t>No cumple. La pagina de resultado de pago no incluye una opcion para volver al carrito pero 
si para volver al inicio.</t>
  </si>
  <si>
    <t>Una vez confirmada la orden pagada, el sistema debe generar una orden detallada (snapshot) con los productos, cantidades, variantes, dirección de envío, costos, descuentos y puntos generados.</t>
  </si>
  <si>
    <t>No cumple. La orden detallada no contiene cantidad, direccion de envio y puntos generados</t>
  </si>
  <si>
    <t>El sistema debe permitir al usuario acceder desde la página de éxito al detalle de la orden en su perfil (historial de órdenes) para consultar en cualquier momento los datos completos.</t>
  </si>
  <si>
    <t>No cumple. No se puede acceder directamente a las ordenes en el perfil</t>
  </si>
  <si>
    <t>Al confirmarse el pago, el sistema debe calcular y registrar los puntos ganados según la configuración de fidelización, asociándolos al usuario y a la orden.</t>
  </si>
  <si>
    <t>Al confirmarse el pago, el sistema debe enviar un correo de confirmación de orden al cliente con el resumen completo: número de orden, fecha, estado, productos, totales, puntos ganados, dirección de envío y datos de contacto de la tienda.</t>
  </si>
  <si>
    <t>El sistema debe poder enviar, además del correo al cliente, un correo interno de notificación opcional al administrador o a una casilla de operaciones con la información clave de la nueva orden.</t>
  </si>
  <si>
    <t>El sistema debe permitir reintentar el pago de una orden pendiente desde el perfil del usuario (por ejemplo, botón “Pagar ahora” en la orden) reutilizando la referencia o generando una nueva, según la integración con la pasarela.</t>
  </si>
  <si>
    <t>El sistema debe registrar en la base de datos un historial de cambios de estado de la orden (pendiente, pagada, procesada, enviada, etc.) asociado a la transacción de pago y a cualquier acción posterior.</t>
  </si>
  <si>
    <t>REQUERIMIENTOS NO FUNCIONALES CHECKOUT</t>
  </si>
  <si>
    <t>La carga del paso de información/dirección del checkout debe completarse en menos de ~3 segundos en condiciones normales de red.</t>
  </si>
  <si>
    <t>La validación del formulario de dirección debe ejecutarse en el cliente de manera inmediata (sin recargar la página), y posteriormente en el servidor para garantizar integridad de datos.</t>
  </si>
  <si>
    <t>El guardado de nuevas direcciones debe realizarse en una única transacción en la base de datos, garantizando que no se creen registros parciales o inconsistentes.</t>
  </si>
  <si>
    <t>El cálculo del resumen de pedido (subtotal, envío, total) debe utilizar funciones centralizadas de negocio para evitar diferencias entre frontend, backend y correos.</t>
  </si>
  <si>
    <t>El resumen del pedido debe actualizarse de forma reactiva si el usuario cambia dirección, método de envío o descuento aplicado, manteniendo tiempos de actualización percibidos inferiores a 1 segundo.</t>
  </si>
  <si>
    <t>Los montos mostrados en el resumen deben usar un formato consistente con la configuración regional de la instancia (moneda, separadores, decimales).</t>
  </si>
  <si>
    <t>Las llamadas al backend para avanzar de información a pago deben ser idempotentes en la medida de lo posible, evitando la creación de órdenes duplicadas por reenvío de formularios o errores de red.</t>
  </si>
  <si>
    <t>El cambio de paso (Información → Pago → Resultado) debe mostrar indicadores de carga y no dejar la interfaz en un estado ambiguo donde el usuario pueda repetir acciones críticas sin feedback.</t>
  </si>
  <si>
    <t>Cualquier error del servidor al crear/actualizar la orden debe manejarse mostrando mensajes claros y ofreciendo opciones de reintentar o volver al carrito sin perder datos relevantes.</t>
  </si>
  <si>
    <t>Los datos enviados a la pasarela de pago (monto, referencia, callback URLs) deben estar firmados o protegidos según los lineamientos de la pasarela para evitar manipulación maliciosa.</t>
  </si>
  <si>
    <t>El sistema debe verificar las firmas y la integridad de la respuesta de la pasarela (retorno y webhook) antes de actualizar el estado de la orden o marcar un pago como exitoso.</t>
  </si>
  <si>
    <t>Los secretos de integración con la pasarela (keys, tokens) deben almacenarse en variables de entorno seguras y nunca en código fuente plano ni en el frontend.</t>
  </si>
  <si>
    <t>La redirección a Wompi y el retorno al sitio deben manejarse de manera que el usuario no vea errores de “página no encontrada” ni loops; las rutas de retorno deben estar probadas y documentadas.</t>
  </si>
  <si>
    <t>El sistema debe ser tolerante a fallos en el webhook: en caso de no recibirlo inmediatamente, debe existir un mecanismo de conciliación o consulta directa a la pasarela para sincronizar estados de pagos.</t>
  </si>
  <si>
    <t>La página de resultado de pago (éxito o error) debe ser accesible y ligera, cargando rápido incluso en conexiones móviles, y debe respetar el mismo diseño general del sitio.</t>
  </si>
  <si>
    <t>La lógica que genera el snapshot de la orden (productos, variantes, precios, descuentos, puntos) debe ejecutarse en una transacción atómica para evitar órdenes parcialmente registradas.</t>
  </si>
  <si>
    <t>El historial de cambios de estado de la orden debe almacenarse en tablas optimizadas para consulta (índices por id_orden, estado, fecha) y ser auditable.</t>
  </si>
  <si>
    <t>El volumen de datos en las tablas de órdenes y transacciones de pago debe considerarse en el diseño (posibles particiones o estrategias de archivado) para garantizar rendimiento a largo plazo.</t>
  </si>
  <si>
    <t>El envío de correos de confirmación debe estar desacoplado del flujo síncrono de respuesta al usuario; idealmente se debe usar una cola o un servicio externo (como Resend) que procese los envíos asíncronamente.</t>
  </si>
  <si>
    <t>Los correos de confirmación al cliente deben enviarse en un plazo muy corto tras la confirmación del pago (segundos), y el sistema debe registrar si el envío fue exitoso o falló.</t>
  </si>
  <si>
    <t>Las plantillas de correo deben estar internacionalizadas y parametrizadas para soportar distintos idiomas, monedas y branding por instancia, sin requerir cambios de código.</t>
  </si>
  <si>
    <t>Los correos internos al administrador (cuando estén habilitados) deben contener únicamente la información necesaria para la operación y no deben incluir datos sensibles de pago (números de tarjeta, tokens).</t>
  </si>
  <si>
    <t>El sistema debe poder manejar rebotes o errores de entrega de correo, registrándolos para posibles reenvíos manuales o automáticos.</t>
  </si>
  <si>
    <t>Los enlaces incluidos en los correos (por ejemplo, ver orden o contactar soporte) deben ser seguros (HTTPS), tener expiración adecuada si son sensibles y estar firmados cuando contengan identificadores críticos.</t>
  </si>
  <si>
    <t>El frontend del checkout debe ser completamente responsivo: formularios, resúmenes y botones deben adaptarse correctamente a pantallas pequeñas sin requerir zoom manual.</t>
  </si>
  <si>
    <t>Todos los campos de formularios y botones de acción en el flujo de pago deben ser accesibles por teclado y anunciados por lectores de pantalla con etiquetas adecuadas.</t>
  </si>
  <si>
    <t>Los mensajes de error, advertencia y éxito en el flujo de pago deben ser visibles, contrastados y no depender únicamente del color para su comprensión.</t>
  </si>
  <si>
    <t>El sistema debe registrar métricas clave del flujo de pago (tasa de éxito, abandonos, errores por paso, tiempos de respuesta) para permitir monitoreo y mejoras futuras.</t>
  </si>
  <si>
    <t>Cambios en la lógica de cálculo de totales o integración con la pasarela deben estar cubiertos por pruebas automatizadas (unitarias e integración) antes de desplegarse a producción.</t>
  </si>
  <si>
    <t>El flujo completo desde selección de dirección hasta visualización del resumen de orden y envío de correos debe soportar picos razonables de tráfico sin degradar la experiencia de usuario ni perder transacciones.</t>
  </si>
  <si>
    <t>REQUERIMIENTOS FUNCIONALES DE LA SECRETARIA GESTORA  (FUNCIONARIO)</t>
  </si>
  <si>
    <t>REQUERIMIENTOS FUNCIONALES FAVORITOS</t>
  </si>
  <si>
    <t>La sección de favoritos debe mostrar un listado de todos los productos que el usuario autenticado ha marcado como favoritos.</t>
  </si>
  <si>
    <t>Cada tarjeta de producto favorito debe mostrar al menos: imagen principal, nombre del producto y precio actual.</t>
  </si>
  <si>
    <t>La sección de favoritos debe permitir al usuario quitar un producto de favoritos mediante un botón o icono claramente identificable (por ejemplo, un corazón relleno/vacío).</t>
  </si>
  <si>
    <t>Al hacer clic en la tarjeta de un producto favorito (imagen, nombre o botón “Ver detalles”), el sistema debe navegar a la página de detalle de ese producto.</t>
  </si>
  <si>
    <t>La sección de favoritos debe mostrar el número total de productos guardados en favoritos (por ejemplo, “1 producto guardado”, “5 productos guardados”).</t>
  </si>
  <si>
    <t>Si el usuario elimina un producto de favoritos, la tarjeta correspondiente debe desaparecer de la lista sin necesidad de recargar manualmente la página.</t>
  </si>
  <si>
    <t>En caso de que el usuario no tenga productos guardados, la sección de favoritos debe mostrar un estado vacío con un mensaje y al menos una acción recomendada (por ejemplo, ir a explorar productos).</t>
  </si>
  <si>
    <t>Debe existir un enlace o botón claro de navegación para volver a la página anterior o al catálogo principal de productos.</t>
  </si>
  <si>
    <t>REQUERIMIENTOS NO FUNCIONALES FAVORITOS</t>
  </si>
  <si>
    <t>La carga inicial de la sección de favoritos (incluyendo el primer lote de productos) debe completarse en menos de ~2 segundos en conexiones de banda ancha típicas.</t>
  </si>
  <si>
    <t>La consulta al backend para obtener los productos favoritos debe estar indexada por id_usuario para evitar escaneos completos sobre la tabla de favoritos.</t>
  </si>
  <si>
    <t>La API de favoritos debe mantener un tiempo de respuesta objetivo P95 menor a 300–400 ms bajo carga normal.</t>
  </si>
  <si>
    <t>El layout de la lista de favoritos debe ser completamente responsivo, mostrando una columna en móviles y varias columnas en pantallas de mayor tamaño sin solapamientos ni recortes de contenido.</t>
  </si>
  <si>
    <t>Las imágenes de los productos favoritos deben utilizar lazy loading para aquellos elementos que aún no están en el viewport, reduciendo el peso inicial de la página.</t>
  </si>
  <si>
    <t>El diseño debe reservar espacio para las tarjetas antes de cargar las imágenes, evitando saltos de layout perceptibles (CLS).</t>
  </si>
  <si>
    <t>La acción de quitar de favoritos debe ejecutarse sin recargar la página completa, actualizando la interfaz de manera reactiva (por ejemplo, mediante actualización del estado en cliente).</t>
  </si>
  <si>
    <t>Los botones o iconos de quitar/agregar a favoritos deben tener tamaño y contraste suficientes para ser usados cómodamente en dispositivos táctiles y cumplir criterios de accesibilidad.</t>
  </si>
  <si>
    <t>Los errores al intentar quitar un producto de favoritos (por ejemplo, fallo de red) deben mostrarse al usuario con mensajes claros sin dejar la interfaz en un estado inconsistente.</t>
  </si>
  <si>
    <t>El texto que indica el número de productos guardados en favoritos debe actualizarse en tiempo real cuando se agregan o eliminan favoritos, sin requerir recarga manual.</t>
  </si>
  <si>
    <t>El formato de dicho texto debe ser internacionalizable (singular/plural, otros idiomas) para adaptarse a distintas configuraciones regionales.</t>
  </si>
  <si>
    <t>El cálculo del contador de favoritos no debe implicar una consulta pesada adicional; idealmente debe derivarse de la misma respuesta que trae la lista de productos.</t>
  </si>
  <si>
    <t>En estados vacíos, el mensaje mostrado debe ser breve, comprensible y completamente configurable por instancia (por ejemplo, a través de archivos de traducción o CMS).</t>
  </si>
  <si>
    <t>El estado vacío no debe disparar repetidas llamadas fallidas al backend; una vez detectada la ausencia de favoritos, la información puede reutilizarse mientras la sesión no cambie.</t>
  </si>
  <si>
    <t>El diseño del estado vacío debe mantener la jerarquía visual de la página, evitando grandes “huecos” que hagan parecer rota la interfaz.</t>
  </si>
  <si>
    <t>El botón o enlace de “Volver” debe estar ubicado de forma consistente con el resto de secciones (por ejemplo, en la parte superior izquierda) y ser accesible mediante teclado y lectores de pantalla (aria-label descriptivo).</t>
  </si>
  <si>
    <t>La navegación de retorno desde favoritos no debe perder por completo el contexto anterior del usuario (por ejemplo, debe volver al catálogo general o a la página desde la que llegó, cuando sea posible).</t>
  </si>
  <si>
    <t>Los cambios de ruta hacia y desde la sección de favoritos deben actualizar adecuadamente el título del documento (&lt;title&gt;) y encabezados (&lt;h1&gt;) para favorecer SEO y accesibilidad.</t>
  </si>
  <si>
    <t>La sección de favoritos debe manejar correctamente escenarios con muchos productos guardados (decenas o centenas), usando paginación o carga incremental para no saturar el navegador.</t>
  </si>
  <si>
    <t>El rendimiento en dispositivos de gama baja debe mantenerse aceptable incluso cuando hay muchos favoritos, evitando listas gigantes sin virtualización o paginación.</t>
  </si>
  <si>
    <t>Si se utiliza caché en frontend o CDN para la sección de favoritos, la política de expiración debe garantizar que los cambios de favoritos del usuario se reflejen en un tiempo razonable.</t>
  </si>
  <si>
    <t>Los textos, etiquetas y mensajes de la sección de favoritos deben residir en archivos de traducción o configuración para facilitar su actualización sin cambios de código.</t>
  </si>
  <si>
    <t>La integración con el sistema de autenticación debe garantizar que solo usuarios autenticados accedan a la lista de favoritos; los casos sin sesión deben redirigir o mostrar mensaje apropiado sin exponer datos de otros usuarios.</t>
  </si>
  <si>
    <t>La sección de favoritos debe respetar las políticas de cookies y privacidad: si el usuario ha rechazado cookies de analítica/marketing, la carga de la sección no debe disparar scripts adicionales de tracking</t>
  </si>
  <si>
    <t>REQUERIMIENTOS FUNCIONALES DASHBOARD ADMIN</t>
  </si>
  <si>
    <t>El sistema debe mostrar una página principal de Dashboard accesible desde el menú lateral con la opción "Dashboard" seleccionada.</t>
  </si>
  <si>
    <t>El sistema debe mostrar en el sidebar el nombre y el correo del administrador logueado.</t>
  </si>
  <si>
    <t>El sistema debe ofrecer menú lateral con secciones: Principal (Dashboard, Órdenes), Catálogo (Categorías, Atributos, Marcas, Proveedores, Productos), Gestión (Usuarios, Descuentos, Puntos, Barra Informativa) y Otros (Analíticas).</t>
  </si>
  <si>
    <t>El sistema debe mostrar breadcrumbs que indiquen la ruta actual (por ejemplo "Inicio -&gt; Dashboard").</t>
  </si>
  <si>
    <t>No cumple. Solo aparece en productos.</t>
  </si>
  <si>
    <t>El sistema debe mostrar la hora de la última actualización de los datos del dashboard.</t>
  </si>
  <si>
    <t>El sistema debe permitir filtrar los datos del dashboard por período (por ejemplo "Mensual").</t>
  </si>
  <si>
    <t>No cumple. Los datos en las tarjetas no concuerdan con el periodo filtrado, no 
se puede seleccionar un rango de periodo como un mes en concreto o ciertas
semanas de un mes.</t>
  </si>
  <si>
    <t>El sistema debe permitir configurar un intervalo de actualización automática (por ejemplo "Cada 30 s").</t>
  </si>
  <si>
    <t>El sistema debe ofrecer un botón "Actualizar" para refrescar manualmente los datos del dashboard.</t>
  </si>
  <si>
    <t>El sistema debe mostrar un resumen en texto del mes con: total de pedidos, pedidos enviados, productos más vendidos con cantidades, facturación total y tasa de conversión.</t>
  </si>
  <si>
    <t>El sistema debe mostrar tarjetas de KPIs con: Total de Órdenes, Órdenes Activas, Órdenes Enviadas e Ingresos Totales, cada una con valor actual y variación respecto al mes anterior.</t>
  </si>
  <si>
    <t>El sistema debe representar la variación mensual con indicadores visuales (por ejemplo flecha y color: verde subida, neutro sin cambio).</t>
  </si>
  <si>
    <t>El sistema debe mostrar un gráfico de resumen de ventas (por ejemplo barras por mes) con subtítulo "Rendimiento de ventas mensual".</t>
  </si>
  <si>
    <t>El sistema debe mostrar en el widget de ventas el total en dinero y la tasa de conversión.</t>
  </si>
  <si>
    <t>El sistema debe ofrecer un botón o enlace para descargar los datos del resumen de ventas.</t>
  </si>
  <si>
    <t>No cumple. Funcion no desarrollada actualmente.</t>
  </si>
  <si>
    <t>El sistema debe mostrar una lista "Productos Destacados" (Top 5 por ventas) con imagen, nombre, cantidad vendida, precio y botón "Ver" por producto.</t>
  </si>
  <si>
    <t>El sistema debe permitir ir al detalle de cada producto destacado desde el botón "Ver".</t>
  </si>
  <si>
    <t>No cumple. Redirige a productos.</t>
  </si>
  <si>
    <t>El sistema debe mostrar una tabla "Actividad Reciente" o "Últimas actualizaciones de órdenes" con columnas: Cliente, Producto (cantidad de ítems), ID Orden, Fecha, Estado y Monto.</t>
  </si>
  <si>
    <t>El sistema debe mostrar el estado de cada orden en la tabla (por ejemplo "Entregado") con un estilo visual coherente (por ejemplo color verde).</t>
  </si>
  <si>
    <t>El sistema debe ofrecer paginación en la tabla de actividad reciente (Anterior, Siguiente, indicador de página actual).</t>
  </si>
  <si>
    <t>El sistema debe permitir elegir el número de filas por página (por ejemplo 5) en la tabla de actividad reciente.</t>
  </si>
  <si>
    <t>El sistema debe ofrecer un enlace o botón "Ver Todo" para acceder al listado completo de órdenes desde el dashboard.</t>
  </si>
  <si>
    <t>El sistema debe ofrecer en el header un control para iniciar un tour o guía (icono de reproducción), un chatbot interactivo y controles para alternar tema claro/oscuro (icono sol, icono luna).</t>
  </si>
  <si>
    <t>No cumple. El icono de la guia no concuerda con el descrito en el 
requerimiento.</t>
  </si>
  <si>
    <t>El dashboard debe cargar en un tiempo aceptable (por ejemplo menos de 3 segundos) para no bloquear al administrador.</t>
  </si>
  <si>
    <t>Solo usuarios autenticados con rol de administrador (o equivalente) deben poder acceder al dashboard.</t>
  </si>
  <si>
    <t>Los valores mostrados (órdenes, ingresos, conversión, productos destacados, actividad reciente) deben coincidir con los datos almacenados y el período seleccionado.</t>
  </si>
  <si>
    <t>El menú lateral debe dejar claramente resaltada la opción "Dashboard" cuando el usuario está en esa página.</t>
  </si>
  <si>
    <t>Las tarjetas de KPIs y el gráfico deben usar una paleta y tipografía coherentes con el resto del panel (por ejemplo tema oscuro).</t>
  </si>
  <si>
    <t>El dashboard debe adaptarse a distintos anchos de pantalla sin ocultar contenido esencial ni romper el layout.</t>
  </si>
  <si>
    <t>La actualización automática no debe provocar parpadeos molestos ni pérdida de scroll; los datos deben actualizarse de forma controlada.</t>
  </si>
  <si>
    <t>Los textos del dashboard (títulos, etiquetas, resumen del mes) deben estar en español y ser editables/configurables para la instancia.</t>
  </si>
  <si>
    <t>El gráfico de ventas y las tablas deben ser legibles (buen contraste, tamaños de fuente adecuados).</t>
  </si>
  <si>
    <t>Los iconos del header (notificaciones, configuración, perfil, tour, tema) deben ser identificables.</t>
  </si>
  <si>
    <t>La lógica que calcula totales, variaciones porcentuales y top productos debe estar centralizada y ser mantenible (evitar duplicación y fórmulas dispersas).</t>
  </si>
  <si>
    <t>Si el backend no responde o falla, el dashboard debe mostrar un mensaje de error claro y no pantallas en blanco.</t>
  </si>
  <si>
    <t>Al cambiar el período (por ejemplo de Mensual a Semanal) la vista debe actualizarse sin requerir recarga completa de la página cuando sea posible.</t>
  </si>
  <si>
    <t>El número de órdenes mostradas en la tabla y los totales en las tarjetas deben ser consistentes entre sí para el mismo período.</t>
  </si>
  <si>
    <t>Las imágenes de los productos destacados deben cargarse de forma diferida o optimizada para no retrasar la carga inicial del dashboard.</t>
  </si>
  <si>
    <t>El enlace "Ver" de cada producto destacado debe llevar a la vista de detalle de producto del admin sin abrir nuevas pestañas innecesarias, salvo que se diseñe así.</t>
  </si>
  <si>
    <t>El dashboard debe poder seguir mostrando resúmenes correctos aunque crezca el volumen de órdenes y productos (consultas paginadas o agregadas, no traer todo el historial a memoria).</t>
  </si>
  <si>
    <t>El cambio de tema (claro/oscuro) debe persistir en la sesión o en preferencias del usuario y aplicarse de forma inmediata en el dashboard.</t>
  </si>
  <si>
    <t>La tabla de actividad reciente debe ordenar por fecha (más recientes primero) de forma coherente con el título "Últimas actualizaciones de órdenes"</t>
  </si>
  <si>
    <t>REQUIRIMIENTOS FUNCIONALES ORDENES ADMIN</t>
  </si>
  <si>
    <t>La sección de Órdenes debe mostrar tarjetas de resumen con el total de órdenes, órdenes pendientes, completadas, canceladas y el monto total de ventas completadas.</t>
  </si>
  <si>
    <t>La sección debe mostrar un listado paginado de órdenes con al menos estas columnas: ID de orden, cliente (nombre y email), fecha, estado, monto total, número de ítems, método de pago y acciones.</t>
  </si>
  <si>
    <t>El administrador debe poder buscar órdenes por ID de orden, nombre de cliente o correo electrónico desde un campo de búsqueda en la parte superior del listado.</t>
  </si>
  <si>
    <t>El administrador debe poder filtrar las órdenes por un rango de fechas utilizando controles “Desde” y “Hasta”.</t>
  </si>
  <si>
    <t>El administrador debe poder filtrar las órdenes por estado (por ejemplo: todas, pendientes, completadas, canceladas) usando un selector de estados y un botón para limpiar los filtros.</t>
  </si>
  <si>
    <t>El listado de órdenes debe permitir abrir el detalle de una orden específica mediante la acción “Ver Detalle”.</t>
  </si>
  <si>
    <t>La vista de detalle de orden debe mostrar en secciones separadas la información del cliente, la información de la orden (ID, fecha, método de pago, estado), la dirección completa de envío, los puntos ganados por la compra, el listado de productos (con cantidad, precio unitario, subtotal, opciones elegidas e imagen) y un resumen de importes (subtotal y total).</t>
  </si>
  <si>
    <t>REQUIRIMIENTOS NO FUNCIONALES ORDENES ADMIN</t>
  </si>
  <si>
    <t>El tiempo de carga inicial de la sección de Órdenes (tarjetas de resumen + primera página del listado) debe ser razonable para un entorno administrativo, evitando bloqueos visibles mientras se obtienen los datos.</t>
  </si>
  <si>
    <t>Las consultas que alimentan las tarjetas de resumen (totales de órdenes y ventas) deben utilizar agregaciones optimizadas sobre las tablas de órdenes para no degradar el rendimiento del resto del sistema.</t>
  </si>
  <si>
    <t>Las tarjetas de resumen deben actualizarse de forma consistente con la información del listado, utilizando el mismo rango temporal y criterios que se defina para la vista.</t>
  </si>
  <si>
    <t>El listado de órdenes debe estar paginado para evitar cargar en memoria un número excesivo de registros y mantener tiempos de respuesta aceptables.</t>
  </si>
  <si>
    <t>La paginación debe indicar de forma clara al administrador en qué página se encuentra y cuántos registros se muestran por página, manteniendo la navegación fluida entre páginas.</t>
  </si>
  <si>
    <t>El campo de búsqueda debe responder sin bloqueos perceptibles, ejecutando las consultas de filtrado de manera asincrónica o con recarga controlada.</t>
  </si>
  <si>
    <t>Las búsquedas por cliente o email deben estar apoyadas en índices adecuados en la base de datos para evitar escaneos completos de la tabla de órdenes.</t>
  </si>
  <si>
    <t>La aplicación de filtros por rango de fechas debe validar que las fechas sean válidas (formato correcto, fecha “Desde” no posterior a “Hasta”) antes de ejecutar la consulta.</t>
  </si>
  <si>
    <t>Las consultas filtradas por rango de fechas deben usar índices sobre la columna de fecha de la orden para que el rendimiento se mantenga aceptable incluso con muchos registros históricos.</t>
  </si>
  <si>
    <t>El selector de estado debe actualizar el listado sin inconsistencias visuales, mostrando únicamente las órdenes que pertenecen al estado elegido y reflejándolo en las tarjetas de resumen cuando corresponda.</t>
  </si>
  <si>
    <t>El botón de “Limpiar” filtros debe restaurar el listado a su estado por defecto sin dejar filtros “fantasma” aplicados en la capa de datos.</t>
  </si>
  <si>
    <t>La tabla de órdenes debe mantener un formato legible y consistente, con alineación adecuada de montos, fechas y textos, tanto en pantallas grandes como en resoluciones más pequeñas usadas en administración.</t>
  </si>
  <si>
    <t>La acción “Ver Detalle” no debe provocar pérdida del contexto de filtros y paginación; al volver al listado el administrador debe seguir viendo la misma página y filtros que tenía aplicados.</t>
  </si>
  <si>
    <t>La vista de detalle de orden debe estructurarse con secciones claras y bien separadas (cliente, orden, dirección, puntos, productos, resumen) para facilitar la lectura rápida de la información.</t>
  </si>
  <si>
    <t>Los datos mostrados en el detalle (cliente, dirección, productos, montos) deben provenir de fuentes consistentes con las usadas en el frontend de cliente, evitando discrepancias entre lo que ve el cliente y lo que ve el admin.</t>
  </si>
  <si>
    <t>La visualización de puntos ganados en el detalle debe estar alineada con la lógica de cálculo del sistema de puntos, evitando mostrar valores que no correspondan a los registrados en la base de datos.</t>
  </si>
  <si>
    <t>Las imágenes de productos en el detalle deben cargarse de forma optimizada, evitando que su descarga ralentice el resto de la interfaz del dashboard.</t>
  </si>
  <si>
    <t>Tanto en el listado como en el detalle, los estilos (colores de estado, tipografías, espaciados) deben seguir el sistema de diseño del panel admin para mantener consistencia con el resto de secciones.</t>
  </si>
  <si>
    <t>Los elementos interactivos de la sección (botones, filtros, enlaces “Ver Detalle” y “Volver”) deben ser accesibles mediante teclado y contar con estados de foco visibles.</t>
  </si>
  <si>
    <t>Los mensajes de error en caso de fallo al cargar órdenes o detalles (por ejemplo, error de red o ID inexistente) deben ser claros, sin exponer información técnica sensible y permitiendo reintentar o volver al listado</t>
  </si>
  <si>
    <t>REQUIRIMIENTOS FUNCIONALES PRODUCTOS ADMIN</t>
  </si>
  <si>
    <t>El sistema debe mostrar un listado de todos los productos en la sección “Todos los Productos” del admin.</t>
  </si>
  <si>
    <t>La tabla debe mostrar por cada producto: Imagen (miniatura), Producto (nombre e ID), Categoría, Línea, Sublínea, Marca, Precio (único o rango), Stock, Estado (Activo/Inactivo) y Acciones.</t>
  </si>
  <si>
    <t>El sistema debe mostrar un resumen de stock con tres contadores: “En Stock”, “Stock Bajo” y “Sin Stock”, con valores numéricos actualizados.</t>
  </si>
  <si>
    <t>El sistema debe permitir buscar productos por nombre mediante un campo de búsqueda (placeholder “Nombre del producto…”).</t>
  </si>
  <si>
    <t>El sistema debe permitir filtrar productos por Categoría, Línea, Sublínea, Marca y Proveedor mediante desplegables con opción “Todas las…”.</t>
  </si>
  <si>
    <t>El sistema debe permitir agregar un nuevo producto mediante el botón “+ Agregar Producto”.</t>
  </si>
  <si>
    <t>El sistema debe permitir ver el detalle de un producto mediante el ícono de ojo en la columna Acciones.</t>
  </si>
  <si>
    <t>El sistema debe permitir editar un producto existente mediante el ícono de lápiz en la columna Acciones.</t>
  </si>
  <si>
    <t>El sistema debe permitir activar o desactivar un producto (cambiar estado) mediante el ícono de encendido en la columna Acciones.</t>
  </si>
  <si>
    <t>El sistema debe mostrar el estado de cada producto de forma clara (Activo / Inactivo), por ejemplo con badges diferenciados por color.</t>
  </si>
  <si>
    <t>El sistema debe soportar productos con precio único o rango de precios (ej. “$20.000” o “$300.000 - $500.000”).</t>
  </si>
  <si>
    <t>El sistema debe ofrecer paginación del listado (Anterior, Siguiente) y permitir elegir el número de filas por página (ej. 10).</t>
  </si>
  <si>
    <t>El sistema debe permitir navegar a otras secciones del admin (Dashboard, Órdenes, Categorías, Atributos, Marcas, Proveedores, Usuarios, Descuentos, Puntos, Barra informativa, Analíticas) desde el menú lateral.</t>
  </si>
  <si>
    <t>El sistema debe resaltar en el menú lateral la sección activa (“Productos”) cuando el usuario está en la sección de productos.</t>
  </si>
  <si>
    <t>REQUIRIMIENTOS NO FUNCIONALES PRODUCTOS ADMIN</t>
  </si>
  <si>
    <t>La carga del listado de productos (incluidas miniaturas) debe realizarse en un tiempo aceptable sin bloquear la interfaz.</t>
  </si>
  <si>
    <t>La búsqueda y los filtros (categoría, línea, sublínea, marca, proveedor) deben responder con baja latencia para no degradar la experiencia del administrador.</t>
  </si>
  <si>
    <t>El diseño de la sección Productos debe ser coherente con el resto del dashboard (tema oscuro, tipografía, espaciados y componentes reutilizados).</t>
  </si>
  <si>
    <t>Los colores del resumen de stock (verde En Stock, naranja Stock Bajo, rojo Sin Stock) y de estado (Activo/Inactivo) deben ser consistentes y accesibles (contraste y texto legible).</t>
  </si>
  <si>
    <t>Los íconos de Acciones (ver, editar, activar/desactivar) deben ser reconocibles y usables en distintos tamaños de pantalla.</t>
  </si>
  <si>
    <t>El acceso a la sección Productos del admin debe estar restringido a usuarios autenticados con rol de administrador (o el equivalente en el proyecto).</t>
  </si>
  <si>
    <t>Los datos mostrados (ID, nombre, categoría, línea, sublínea, marca, precio, stock, estado) deben coincidir con los almacenados en la base de datos.</t>
  </si>
  <si>
    <t>La paginación y el cambio de “filas por página” deben mantener el contexto (filtros y búsqueda aplicados) sin recargas bruscas.</t>
  </si>
  <si>
    <t>Las imágenes de producto en la tabla deben cargarse de forma eficiente (tamaño adecuado, lazy loading si aplica) para no ralentizar la página.</t>
  </si>
  <si>
    <t>Los textos de la interfaz (títulos, columnas, botones, filtros) deben estar en español y ser consistentes con el resto del sistema.</t>
  </si>
  <si>
    <t>La tabla debe seguir siendo usable con muchos productos gracias a paginación, búsqueda y filtros.</t>
  </si>
  <si>
    <t>Los contadores del resumen de stock deben actualizarse de forma coherente con los filtros aplicados o con una política de actualización definida.</t>
  </si>
  <si>
    <t>La sección debe cumplir criterios básicos de accesibilidad: contraste, foco visible y navegación por teclado en elementos interactivos.</t>
  </si>
  <si>
    <t>Las operaciones de agregar, editar o cambiar estado no deben bloquear el resto del dashboard ni provocar pérdida de contexto sin aviso.</t>
  </si>
  <si>
    <t>La implementación debe permitir ampliar columnas o filtros en el futuro (por ejemplo, SKU, fechas) sin rediseñar por completo la vista.</t>
  </si>
  <si>
    <t>En caso de error al cargar productos o al aplicar filtros, debe mostrarse un mensaje claro y la opción de reintentar, evitando pantallas vacías o confusas.</t>
  </si>
  <si>
    <t>REQUIRIMIENTOS FUNCIONALES  CATEGORIAS ADMIN</t>
  </si>
  <si>
    <t>El sistema debe permitir crear categorías principales</t>
  </si>
  <si>
    <t>La sección de categorías debe mostrar tres pestañas: Categoría, Línea y Sublínea, con el conteo de registros en cada una.</t>
  </si>
  <si>
    <t>El sistema debe listar categorías/líneas/sublíneas en tabla con columnas: ID, Nombre, Fecha de Creación, Estado y Acciones.</t>
  </si>
  <si>
    <t>En las pestañas Línea y Sublínea, la tabla debe incluir la columna Padre que muestre la entidad superior en la jerarquía (categoría para Línea, línea para Sublínea).</t>
  </si>
  <si>
    <t>El sistema debe mostrar el estado de cada registro (por ejemplo, "Activo") mediante etiquetas/badges.</t>
  </si>
  <si>
    <t>El sistema debe incluir el botón "+ Agregar Categoría" para crear nuevas categorías, líneas o sublíneas según la pestaña activa.</t>
  </si>
  <si>
    <t>El sistema debe proporcionar un campo de búsqueda para filtrar por nombre ("Buscar categoría...", "Buscar línea...", "Buscar sublínea..." según la pestaña).</t>
  </si>
  <si>
    <t>En pestaña Línea, el sistema debe permitir filtrar por categoría padre mediante un desplegable (por ejemplo, "Todas las categorías").</t>
  </si>
  <si>
    <t>En pestaña Sublínea, el sistema debe permitir filtrar por línea padre mediante un desplegable (por ejemplo, "Todas las lineas").</t>
  </si>
  <si>
    <t>Para cada fila, el sistema debe ofrecer el botón de ver detalle (ícono de ojo).</t>
  </si>
  <si>
    <t>Para cada fila, el sistema debe ofrecer el botón de editar (ícono de lápiz).</t>
  </si>
  <si>
    <t>Para cada fila, el sistema debe ofrecer el botón de activar/desactivar (ícono de interruptor).</t>
  </si>
  <si>
    <t>La sección de categorías debe aparecer en el menú lateral del panel admin y resaltarse cuando esté activa.</t>
  </si>
  <si>
    <t>REQUIRIMIENTOS NO FUNCIONALES CATEGORIAS ADMIN</t>
  </si>
  <si>
    <t>La estructura jerárquica debe cargarse en menos de 1 segundo</t>
  </si>
  <si>
    <t>La tabla de categorías/líneas/sublíneas debe cargar y actualizarse con filtros y búsqueda en un tiempo razonable (&lt; 2–3 segundos en condiciones normales).</t>
  </si>
  <si>
    <t>Las consultas que alimentan la tabla deben soportar paginación, búsqueda por texto y filtro por padre sin tiempos de respuesta excesivos.</t>
  </si>
  <si>
    <t>Las acciones de crear, editar y cambiar estado deben aplicarse sin recarga completa de la página o con feedback inmediato (toast, actualización de fila).</t>
  </si>
  <si>
    <t>La sección debe usar el mismo tema oscuro y estilos que el resto del panel admin para mantener coherencia.</t>
  </si>
  <si>
    <t>Los badges de estado deben tener contraste suficiente para distinguir "Activo" de "Inactivo".</t>
  </si>
  <si>
    <t>Botones e iconos de acción deben tener tamaño y espaciado adecuados para uso con mouse y teclado.</t>
  </si>
  <si>
    <t>Los controles (búsqueda, filtros, acciones) deben ser accesibles por teclado con focos visibles.</t>
  </si>
  <si>
    <t>Solo los usuarios autenticados con rol de administrador deben poder acceder a la sección de categorías.</t>
  </si>
  <si>
    <t>Los datos mostrados (ID, nombre, padre, fecha, estado) deben ser consistentes con la base de datos.</t>
  </si>
  <si>
    <t>La jerarquía categoría → línea → sublínea debe respetarse en filtros y en la columna Padre.</t>
  </si>
  <si>
    <t>Los textos de la interfaz (etiquetas, placeholders, botones) deben ser completamente traducibles.</t>
  </si>
  <si>
    <t>La estructura de la sección debe facilitar añadir nuevas columnas o filtros sin refactorizaciones amplias</t>
  </si>
  <si>
    <t>REQUIRIMIENTOS FUNCIONALES USUARIOS ADMIN</t>
  </si>
  <si>
    <t>El sistema debe mostrar un listado de todos los usuarios registrados en una tabla dentro de la sección “Usuarios”.</t>
  </si>
  <si>
    <t>La tabla debe mostrar por cada usuario: Usuario (inicial/avatar, nombre completo, email), Teléfono, Género, Rol, Estado y Acciones.</t>
  </si>
  <si>
    <t>El sistema debe mostrar tarjetas de resumen con: Total de usuarios, Clientes, Admins, Usuarios activos y Usuarios inactivos, con valores numéricos actualizados.</t>
  </si>
  <si>
    <t>El sistema debe permitir editar los datos de un usuario mediante el ícono de lápiz en la columna Acciones.</t>
  </si>
  <si>
    <t>El sistema debe permitir activar o desactivar un usuario (cambiar estado entre Activo/Inactivo) mediante el ícono de encendido en la columna Acciones.</t>
  </si>
  <si>
    <t>El sistema debe mostrar el rol de cada usuario (por ejemplo Admin, Cliente) de forma clara y diferenciada visualmente.</t>
  </si>
  <si>
    <t>El sistema debe mostrar el estado de cada usuario (Activo / Inactivo) de forma clara, por ejemplo con badges diferenciados por color.</t>
  </si>
  <si>
    <t>El sistema debe ofrecer paginación del listado (Anterior, Siguiente) y permitir elegir el número de filas por página (por ejemplo 10).</t>
  </si>
  <si>
    <t>El sistema debe permitir navegar a otras secciones del admin (Dashboard, Órdenes, Categorías, Atributos, Marcas, Proveedores, Productos, Descuentos, Puntos, Barra informativa, Analíticas) desde el menú lateral.</t>
  </si>
  <si>
    <t>El sistema debe resaltar en el menú lateral la sección “Usuarios” cuando el usuario está en esta sección.</t>
  </si>
  <si>
    <t>La carga del listado de usuarios y de los contadores de resumen debe realizarse en un tiempo aceptable sin bloquear la interfaz.</t>
  </si>
  <si>
    <t>La paginación debe cargar solo la página solicitada para no degradar el rendimiento con muchos usuarios.</t>
  </si>
  <si>
    <t>El diseño de la sección Usuarios debe ser coherente con el resto del dashboard (tema oscuro, tipografía, espaciados).</t>
  </si>
  <si>
    <t>Los roles (Admin, Cliente) y los estados (Activo, Inactivo) deben distinguirse de forma clara por color y texto, de forma accesible.</t>
  </si>
  <si>
    <t>Los íconos de Acciones (editar, activar/desactivar) deben ser reconocibles y usables en distintos tamaños de pantalla.</t>
  </si>
  <si>
    <t>El acceso a la sección Usuarios debe estar restringido a usuarios autenticados con rol de administrador (o el equivalente definido en el proyecto).</t>
  </si>
  <si>
    <t>Los datos mostrados (nombre, email, teléfono, género, rol, estado) deben coincidir con los almacenados en la base de datos.</t>
  </si>
  <si>
    <t>Todas las entradas relacionadas con usuarios (creación, edición, búsqueda) deben validarse y sanearse en backend para evitar inyección de código o manipulación indebida de datos.</t>
  </si>
  <si>
    <t>La paginación y el cambio de “filas por página” deben mantener el contexto sin recargas bruscas de la página.</t>
  </si>
  <si>
    <t>Los textos de la interfaz (títulos, columnas, tarjetas, botones) deben estar en español y ser consistentes con el resto del sistema.</t>
  </si>
  <si>
    <t>Los contadores del resumen (Total, Clientes, Admins, Activos, Inactivos) deben ser coherentes entre sí y con el listado paginado.</t>
  </si>
  <si>
    <t>Las operaciones de edición y cambio de estado no deben bloquear el resto del dashboard ni provocar pérdida de contexto sin aviso.</t>
  </si>
  <si>
    <t>La implementación debe permitir ampliar columnas o filtros (por ejemplo por rol, estado, búsqueda por nombre/email) sin rediseñar por completo la vista.</t>
  </si>
  <si>
    <t>En caso de error al cargar usuarios o al aplicar acciones, debe mostrarse un mensaje claro y la opción de reintentar cuando sea posible.</t>
  </si>
  <si>
    <t>El manejo de datos personales (nombre, email, teléfono) debe alinearse con la política de privacidad del sistema y con buenas prácticas de protección de datos.</t>
  </si>
  <si>
    <t>REQUIRIMIENTOS FUNCIONALES ATRIBUTOS</t>
  </si>
  <si>
    <t>La sección de Atributos debe mostrar un listado tabular de todos los atributos configurados en el catálogo, incluyendo al menos columnas de ID, nombre, tipo de dato y si tiene valores predefinidos.</t>
  </si>
  <si>
    <t>La sección debe permitir buscar atributos por nombre mediante un campo de búsqueda en la parte superior del listado.</t>
  </si>
  <si>
    <t>La sección debe permitir agregar un nuevo atributo haciendo clic en el botón “Agregar Atributo”, abriendo un formulario con nombre, tipo de dato y opción de definir si tendrá valores predefinidos.</t>
  </si>
  <si>
    <t>La sección debe permitir editar un atributo existente mediante una acción de edición en la columna de Acciones.</t>
  </si>
  <si>
    <t>La sección debe permitir eliminar un atributo existente mediante una acción de eliminación en la columna de Acciones.</t>
  </si>
  <si>
    <t>La sección debe permitir al administrador ver y gestionar los valores predefinidos de un atributo (por ejemplo, para “Almacenamiento” ver 128GB, 256GB, etc.) accediendo a una vista de “Valores” asociada al atributo.</t>
  </si>
  <si>
    <t>En la vista de valores de un atributo, el sistema debe listar los valores predefinidos con columnas de ID, valor, color (cuando aplique), orden de visualización y estado activo/inactivo, además de acciones de edición y eliminación.</t>
  </si>
  <si>
    <t>En la vista de valores de un atributo, el sistema debe permitir agregar nuevos valores predefinidos mediante un botón “Agregar valor”.</t>
  </si>
  <si>
    <t>Ambas vistas (listado de atributos y listado de valores) deben soportar paginación, mostrando un número configurable de filas por página y controles para navegar entre páginas.</t>
  </si>
  <si>
    <t>La sección de Atributos debe integrarse con el resto del dashboard reutilizando el mismo menú lateral, encabezado y esquema de navegación (por ejemplo, resaltando “Atributos” en el menú cuando la vista está activa).</t>
  </si>
  <si>
    <t>REQUIRIMIENTOS NO FUNCIONALES ATRIBUTOS</t>
  </si>
  <si>
    <t>El listado inicial de atributos debe cargarse en un tiempo razonable (por ejemplo, menos de ~2–3 segundos en condiciones normales) para no afectar la experiencia del administrador.</t>
  </si>
  <si>
    <t>Las consultas a la base de datos para obtener atributos deben estar paginadas y utilizar índices sobre campos como nombre y tipo para evitar lecturas completas de tablas.</t>
  </si>
  <si>
    <t>Al aplicar un término de búsqueda de atributo, el filtrado debe ejecutarse sin bloquear la interfaz, mostrando un indicador de carga si el tiempo de respuesta es apreciable.</t>
  </si>
  <si>
    <t>La interfaz de atributos debe ser responsiva, adaptándose correctamente a distintos anchos de pantalla (al menos escritorio y laptops), sin cortar columnas críticas ni acciones.</t>
  </si>
  <si>
    <t>Los nombres de atributos mostrados en la tabla deben truncarse de forma elegante cuando excedan el ancho de la columna para evitar desbordes visuales.</t>
  </si>
  <si>
    <t>La paginación en el listado de atributos debe mantener el estado del filtro de búsqueda aplicado, evitando que se pierda al cambiar de página.</t>
  </si>
  <si>
    <t>El formulario para crear o editar un atributo debe validar que el nombre no vaya vacío y que el tipo de dato sea uno de los tipos permitidos (por ejemplo, texto, número, booleano), mostrando mensajes de error claros.</t>
  </si>
  <si>
    <t>El formulario de atributos debe impedir envíos duplicados (por ejemplo, deshabilitando el botón de guardar mientras se procesa la solicitud) para evitar crear o editar dos veces el mismo registro.</t>
  </si>
  <si>
    <t>La eliminación de un atributo debe requerir confirmación explícita (diálogo o equivalente) para reducir el riesgo de borrados accidentales.</t>
  </si>
  <si>
    <t>Si un atributo está en uso en productos o variantes, la lógica de backend debe manejar la eliminación de forma segura (por ejemplo, bloqueando o condicionando la acción) y devolver mensajes claros al administrador.</t>
  </si>
  <si>
    <t>Los iconos de acciones (ver valores, editar, eliminar) deben contar con etiquetas accesibles (title o similares) para que su función sea comprensible incluso sin texto.</t>
  </si>
  <si>
    <t>El color y el diseño de los botones/etiquetas de estado (por ejemplo, “Activo”) deben seguir el sistema visual del dashboard para mantener consistencia y evitar confusión.</t>
  </si>
  <si>
    <t>El listado de valores de un atributo debe cargar solo los registros correspondientes a ese atributo, realizando una consulta filtrada por ID de atributo para optimizar el rendimiento.</t>
  </si>
  <si>
    <t>El orden de visualización de los valores predefinidos debe respetar el campo “Orden” configurado, de manera determinista, para que el front de la tienda pueda mostrar las opciones en el mismo orden.</t>
  </si>
  <si>
    <t>La vista de valores debe mostrar claramente si un valor está activo o inactivo, evitando que el administrador confunda valores deshabilitados con errores de carga.</t>
  </si>
  <si>
    <t>La adición o edición de valores predefinidos debe validar que el valor no esté vacío y, cuando aplique, que el color tenga un formato válido (por ejemplo, código hex).</t>
  </si>
  <si>
    <t>Cualquier error en operaciones CRUD (crear, editar, eliminar atributos o valores) debe mostrarse con mensajes legibles para el administrador, sin dejar la pantalla en blanco ni estados inconsistentes.</t>
  </si>
  <si>
    <t>El sistema debe registrar internamente cambios relevantes en atributos y valores (quién los hizo y cuándo) para facilitar auditorías, aunque esta información no necesariamente se muestre en la UI actual.</t>
  </si>
  <si>
    <t>El diseño de la tabla de atributos y de la tabla de valores debe permitir escalar a decenas de registros sin pérdida grave de usabilidad (uso de scroll, paginación y filtros).</t>
  </si>
  <si>
    <t>La sección debe respetar las políticas de autenticación y autorización del dashboard: solo usuarios con rol de administrador (o permisos equivalentes) deben poder acceder y modificar atributos.</t>
  </si>
  <si>
    <t>La navegación de teclado (tabulador) debe permitir acceder a los campos del formulario y a los botones de acción en el listado sin saltos extraños, facilitando su uso sin ratón.</t>
  </si>
  <si>
    <t>Los mensajes de éxito (por ejemplo, al crear o editar un atributo) deben ser breves, visibles y no intrusivos, idealmente desapareciendo después de unos segundos sin requerir interacción adicional.</t>
  </si>
  <si>
    <t>En caso de fallo de red u otro error inesperado al cargar atributos o valores, la sección debe mostrar un mensaje de error y ofrecer al administrador la opción de reintentar, sin romper la navegación global del dashboard.</t>
  </si>
  <si>
    <t>La implementación de la sección de atributos debe seguir las convenciones de código del proyecto (separación de capas, reutilización de componentes de tabla y formularios) para facilitar su mantenimiento y evolución futura</t>
  </si>
  <si>
    <t>REQUIRIMIENTOS FUNCIONALES MARCAS</t>
  </si>
  <si>
    <t>El sistema debe mostrar un listado de todas las marcas registradas en una tabla.</t>
  </si>
  <si>
    <t>La tabla debe mostrar por cada marca: ID, Nombre, Fecha de creación, Fecha de actualización, Estado (Activo/Inactivo) y Acciones.</t>
  </si>
  <si>
    <t>El sistema debe permitir agregar una nueva marca mediante un botón “+ Agregar Marca”.</t>
  </si>
  <si>
    <t>El sistema debe permitir buscar o filtrar marcas por nombre mediante un campo de búsqueda (placeholder tipo “Buscar marca…”).</t>
  </si>
  <si>
    <t>El sistema debe permitir ver el detalle de una marca mediante un ícono de ojo en la columna Acciones.</t>
  </si>
  <si>
    <t>El sistema debe permitir editar una marca existente mediante un ícono de lápiz en la columna Acciones.</t>
  </si>
  <si>
    <t>El sistema debe permitir activar o desactivar una marca (cambiar estado) mediante un ícono de encendido/apagado en la columna Acciones.</t>
  </si>
  <si>
    <t>El sistema debe mostrar el estado de cada marca de forma clara (Activo / Inactivo), por ejemplo con etiquetas o badges diferenciados.</t>
  </si>
  <si>
    <t>El sistema debe ofrecer paginación del listado de marcas (Anterior, Siguiente, indicador de página actual y total).</t>
  </si>
  <si>
    <t>El sistema debe permitir elegir cuántas filas se muestran por página (ej. “Filas por página: 10”).</t>
  </si>
  <si>
    <t>El sistema debe permitir navegar a otras secciones del admin (Dashboard, Órdenes, Categorías, Atributos, Proveedores, Productos, Usuarios, Descuentos, Puntos, Barra informativa, Analíticas) desde el menú lateral.</t>
  </si>
  <si>
    <t>El sistema debe mostrar en el menú lateral la sección activa (Marcas resaltada cuando el usuario está en Marcas).</t>
  </si>
  <si>
    <t xml:space="preserve"> </t>
  </si>
  <si>
    <t>La carga del listado de marcas debe ser rápida y no bloquear la interfaz, incluso con decenas de registros.</t>
  </si>
  <si>
    <t>La búsqueda o filtrado por nombre debe responder en un tiempo aceptable (sin demoras perceptibles).</t>
  </si>
  <si>
    <t>La interfaz debe ser clara y usable para un administrador: etiquetas, botón de agregar y acciones por fila fácilmente identificables.</t>
  </si>
  <si>
    <t>El diseño debe ser coherente con el resto del dashboard (tema oscuro, tipografía y espaciado uniformes).</t>
  </si>
  <si>
    <t>Los estados Activo e Inactivo deben distinguirse de forma visual (por ejemplo color o estilo de badge) y con texto, para accesibilidad.</t>
  </si>
  <si>
    <t>Los íconos de acciones (ver, editar, activar/desactivar) deben ser reconocibles y usables en distintos tamaños de pantalla.</t>
  </si>
  <si>
    <t>El acceso a la sección Marcas debe estar restringido a usuarios autenticados y con rol de administrador (o el rol que corresponda en el proyecto).</t>
  </si>
  <si>
    <t>Los datos mostrados (ID, nombre, fechas, estado) deben coincidir con los almacenados en la base de datos; no debe haber incoherencias entre listado y detalle/edición.</t>
  </si>
  <si>
    <t>La paginación y el cambio de “filas por página” deben funcionar sin recargar toda la página de forma brusca, manteniendo el contexto (filtros, búsqueda).</t>
  </si>
  <si>
    <t>La interfaz de la sección Marcas debe estar en español (títulos, botones, columnas, estados).</t>
  </si>
  <si>
    <t>La estructura de la página (encabezado, tabla, filtros, paginación) debe permitir añadir o quitar columnas y acciones sin romper el layout.</t>
  </si>
  <si>
    <t>Con muchas marcas, el uso de paginación y búsqueda debe permitir encontrar y gestionar marcas sin degradación notable del rendimiento.La búsqueda o filtrado por nombre debe responder en un tiempo aceptable (sin demoras perceptibles).</t>
  </si>
  <si>
    <t>Con muchas marcas, el uso de paginación y búsqueda debe permitir encontrar y gestionar marcas sin degradación notable del rendimiento.</t>
  </si>
  <si>
    <t>REQUIRIMIENTOS FUNCIONALES PROVEEDORES</t>
  </si>
  <si>
    <t>El sistema debe mostrar un listado de todos los proveedores registrados en una tabla dentro de la sección “Proveedores”.</t>
  </si>
  <si>
    <t>La tabla de proveedores debe mostrar, como mínimo, las columnas: ID, Nombre, Fecha de creación, Fecha de actualización, Estado y Acciones.</t>
  </si>
  <si>
    <t>El sistema debe permitir buscar proveedores por nombre a través de un campo de búsqueda (por ejemplo “Buscar proveedor…”).</t>
  </si>
  <si>
    <t>El sistema debe permitir agregar un nuevo proveedor mediante el botón “+ Agregar Proveedor”.</t>
  </si>
  <si>
    <t>El sistema debe permitir visualizar el detalle de un proveedor mediante el ícono de “ver” en la columna Acciones.</t>
  </si>
  <si>
    <t>El sistema debe permitir editar los datos de un proveedor mediante el ícono de edición en la columna Acciones.</t>
  </si>
  <si>
    <t>El sistema debe permitir activar o desactivar un proveedor (cambiar su estado entre Activo/Inactivo) mediante el botón/ícono de encendido en la columna Acciones.</t>
  </si>
  <si>
    <t>El sistema debe mostrar claramente el estado actual de cada proveedor (por ejemplo, badge “Activo” en amarillo).</t>
  </si>
  <si>
    <t>El sistema debe paginar el listado de proveedores, permitiendo navegar entre páginas con controles de “Anterior”, “Siguiente” y “Filas por página”.</t>
  </si>
  <si>
    <t>REQUIRIMIENTOS NO FUNCIONALES PROVEEDORES</t>
  </si>
  <si>
    <t>La carga inicial del listado de proveedores debe realizarse en un tiempo aceptable para el administrador, sin bloqueos visibles de la interfaz.</t>
  </si>
  <si>
    <t>La búsqueda por nombre de proveedor debe responder sin retrasos perceptibles (latencia baja al aplicar el filtro).</t>
  </si>
  <si>
    <t>El diseño de la sección Proveedores debe ser coherente con el resto del dashboard (tema oscuro, tipografía, espaciados y componentes reutilizados).</t>
  </si>
  <si>
    <t>Los estados “Activo” e “Inactivo” de un proveedor deben distinguirse de forma clara y consistente, usando colores y texto, de forma accesible.</t>
  </si>
  <si>
    <t>Los íconos de la columna Acciones (ver, editar, activar/desactivar) deben ser reconocibles y usables tanto en pantallas grandes como en portátiles con menor resolución.</t>
  </si>
  <si>
    <t>La sección Proveedores debe ser accesible solo para usuarios autenticados con permisos de administrador o rol equivalente de gestión.</t>
  </si>
  <si>
    <t>Los datos mostrados en la tabla (ID, nombre, fechas, estado) deben estar sincronizados con la base de datos; tras una edición o cambio de estado, la vista debe reflejar el cambio sin inconsistencias.</t>
  </si>
  <si>
    <t>La paginación y el control de “Filas por página” deben mantener el contexto visual (no hacer saltos bruscos ni perder la posición del usuario).</t>
  </si>
  <si>
    <t>El campo de búsqueda debe tolerar mayúsculas y minúsculas sin afectar los resultados (búsqueda case-insensitive).</t>
  </si>
  <si>
    <t>Los textos de la interfaz de la sección Proveedores (títulos, columnas, botones) deben estar en español y ser consistentes con el lenguaje del resto del sistema.</t>
  </si>
  <si>
    <t>La tabla debe ser legible y usable con diferentes cantidades de proveedores (desde pocos registros hasta decenas), sin romper el layout.</t>
  </si>
  <si>
    <t>Los cambios realizados sobre un proveedor (edición, activación/desactivación) deben registrarse siguiendo las políticas de auditoría definidas para el backend (fechas de actualización, usuario que realizó el cambio).</t>
  </si>
  <si>
    <t>La sección Proveedores debe seguir los criterios básicos de accesibilidad: contraste suficiente en textos y badges, foco visible en elementos interactivos y navegación por teclado.</t>
  </si>
  <si>
    <t>La acción de agregar o editar un proveedor no debe afectar el rendimiento del resto del dashboard ni bloquear otras operaciones del administrador.</t>
  </si>
  <si>
    <t>El conteo de resultados (“18 resultados”) debe actualizarse correctamente cuando se aplican búsquedas o cambios de estado, para dar feedback fiable al administrador.</t>
  </si>
  <si>
    <t>La implementación debe permitir ampliar en el futuro la información mostrada de cada proveedor (por ejemplo, contacto, teléfono) sin necesidad de rediseñar completamente la sección.</t>
  </si>
  <si>
    <t>En caso de error al cargar la lista de proveedores, la sección debe mostrar un mensaje claro para el administrador y ofrecer la opción de reintentar, evitando pantallas vacías.</t>
  </si>
  <si>
    <t>REQUIRIMIENTOS FUNCIONALES DESCUENTOS ADMIN</t>
  </si>
  <si>
    <t>El sistema debe mostrar un listado de todos los descuentos y cupones en una tabla dentro de la sección “Descuentos”.</t>
  </si>
  <si>
    <t>La tabla debe mostrar por cada descuento: ID, Nombre, Tipo, Valor, Código, Puntos, Usos (actual/total o ilimitado), Estado y Acciones.</t>
  </si>
  <si>
    <t>El sistema debe mostrar tarjetas de resumen con: Total activos (descuentos disponibles), Total inactivos (descuentos pausados), Total canjes realizados y Puntos canjeados (puntos utilizados), con valores numéricos actualizados.</t>
  </si>
  <si>
    <t>El sistema debe permitir crear un nuevo descuento o cupón mediante el botón “+ Crear Descuento”.</t>
  </si>
  <si>
    <t>El sistema debe permitir buscar descuentos por nombre, descripción o código mediante un campo de búsqueda.</t>
  </si>
  <si>
    <t>El sistema debe permitir filtrar descuentos por tipo mediante un desplegable (por ejemplo “Todos los tipos”).</t>
  </si>
  <si>
    <t>El sistema debe permitir ordenar el listado (por ejemplo “Ordenar por nombre”) en orden ascendente o descendente.</t>
  </si>
  <si>
    <t>El sistema debe permitir ver el detalle de un descuento mediante el ícono de ojo en la columna Acciones.</t>
  </si>
  <si>
    <t>El sistema debe permitir editar un descuento existente mediante el ícono de lápiz en la columna Acciones.</t>
  </si>
  <si>
    <t>El sistema debe permitir activar o desactivar un descuento (cambiar estado) mediante el ícono de encendido en la columna Acciones.</t>
  </si>
  <si>
    <t>El sistema debe mostrar el estado de cada descuento (Activo / Inactivo) de forma clara, por ejemplo con badges.</t>
  </si>
  <si>
    <t>El sistema debe mostrar para cada descuento el número de usos actual y el límite (o indicación de usos ilimitados, p. ej. “∞”).</t>
  </si>
  <si>
    <t>El sistema debe ofrecer paginación del listado (Anterior, Siguiente, página actual y total) y permitir elegir el número de filas por página (por ejemplo 10).</t>
  </si>
  <si>
    <t>El sistema debe permitir navegar a otras secciones del admin desde el menú lateral y resaltar la sección “Descuentos” cuando el usuario está en ella.</t>
  </si>
  <si>
    <t>REQUIRIMIENTOS NO FUNCIONALES DESCUENTOS ADMIN</t>
  </si>
  <si>
    <t>La carga del listado de descuentos y de los contadores de resumen debe realizarse en un tiempo aceptable sin bloquear la interfaz.</t>
  </si>
  <si>
    <t>La búsqueda, el filtro por tipo y el ordenamiento deben responder con baja latencia para no degradar la experiencia del administrador.</t>
  </si>
  <si>
    <t>El diseño de la sección Descuentos debe ser coherente con el resto del dashboard (tema oscuro, tipografía, espaciados y componentes reutilizados).</t>
  </si>
  <si>
    <t>Los estados Activo e Inactivo deben distinguirse de forma clara por color y texto, de forma accesible.</t>
  </si>
  <si>
    <t>El acceso a la sección Descuentos debe estar restringido a usuarios autenticados con rol de administrador (o el equivalente en el proyecto).</t>
  </si>
  <si>
    <t>Los datos mostrados (ID, nombre, tipo, valor, código, usos, estado) deben coincidir con los almacenados en la base de datos.</t>
  </si>
  <si>
    <t>La paginación y el cambio de “filas por página” deben mantener el contexto (búsqueda, filtro y orden aplicados) sin recargas bruscas.</t>
  </si>
  <si>
    <t>Los textos de la interfaz (títulos, columnas, tarjetas, botones, placeholders) deben estar en español y ser consistentes con el resto del sistema.</t>
  </si>
  <si>
    <t>Los contadores del resumen (activos, inactivos, canjes, puntos canjeados) deben ser coherentes con el listado y con la lógica de negocio.</t>
  </si>
  <si>
    <t>Las operaciones de crear, editar o cambiar estado no deben bloquear el resto del dashboard ni provocar pérdida de contexto sin aviso.</t>
  </si>
  <si>
    <t>La implementación debe permitir ampliar filtros u ordenamientos (por ejemplo por fechas de vigencia, por código) sin rediseñar por completo la vista.</t>
  </si>
  <si>
    <t>En caso de error al cargar descuentos o al aplicar búsqueda/filtro/orden, debe mostrarse un mensaje claro y la opción de reintentar cuando sea posible.</t>
  </si>
  <si>
    <t>El sistema debe validar y sanear las entradas relacionadas con descuentos (nombre, código, valor, etc.) en backend para evitar datos inválidos o incoherentes.</t>
  </si>
  <si>
    <t>Con un número creciente de descuentos, el uso de paginación, búsqueda y filtros debe permitir gestionar el listado sin degradación notable del rendimiento.</t>
  </si>
  <si>
    <t>REQUIRIMIENTOS FUNCIONALES PUNTOS ADMIN</t>
  </si>
  <si>
    <t>El sistema debe mostrar la tasa actual del sistema de puntos (por ejemplo “$1500 = 1 punto”) en una tarjeta visible para el administrador.</t>
  </si>
  <si>
    <t>El sistema debe mostrar la fecha de inicio de la configuración de puntos y, si aplica, que no tiene fecha de fin (“Sin fecha”).</t>
  </si>
  <si>
    <t>El sistema debe mostrar el estado actual de la configuración de puntos (por ejemplo “Activo”) junto con la fecha en que fue creada.</t>
  </si>
  <si>
    <t>El sistema debe mostrar el total de usuarios que participan en el sistema de puntos en una tarjeta de resumen.</t>
  </si>
  <si>
    <t>El sistema debe mostrar el total de puntos en circulación (puntos disponibles entre todos los usuarios) en una tarjeta de resumen.</t>
  </si>
  <si>
    <t>El sistema debe mostrar el promedio de puntos por usuario en una tarjeta de resumen.</t>
  </si>
  <si>
    <t>El sistema debe permitir actualizar la configuración del sistema de puntos mediante un botón (por ejemplo “Actualizar Configuración”).</t>
  </si>
  <si>
    <t>El sistema debe mostrar un listado de usuarios con información relevante para puntos: ID, Nombre, Email, Teléfono, Puntos disponibles, Total ganados, Total canjeados, Último canje, Estado y Acciones.</t>
  </si>
  <si>
    <t>El sistema debe permitir buscar usuarios por nombre o email mediante un campo de búsqueda en la sección de puntos.</t>
  </si>
  <si>
    <t>El sistema debe mostrar el estado de participación de cada usuario en el sistema de puntos (por ejemplo “Activo” / “Inactivo”).</t>
  </si>
  <si>
    <t>El sistema debe permitir acceder al historial de puntos de un usuario concreto mediante la acción “Ver Historial” en la columna Acciones.</t>
  </si>
  <si>
    <t>La pantalla de historial de puntos debe mostrar los movimientos de puntos del usuario: tipo de movimiento (acumulación/canje), cantidad, saldo anterior, saldo actual, descripción y fecha.</t>
  </si>
  <si>
    <t>La sección de puntos debe permitir paginación del listado de usuarios (Anterior, Siguiente, Filas por página).</t>
  </si>
  <si>
    <t>REQUIRIMIENTOS NO FUNCIONALES PUNTOS ADMIN</t>
  </si>
  <si>
    <t>La carga de la sección de puntos (tarjetas de resumen + tabla de usuarios) debe completarse en un tiempo aceptable para el administrador, sin bloquear la interfaz.</t>
  </si>
  <si>
    <t>La información agregada (tasa actual, puntos en circulación, promedio por usuario) debe estar sincronizada con los datos reales de la base de datos.</t>
  </si>
  <si>
    <t>Los cálculos de puntos en circulación y promedio por usuario deben realizarse mediante consultas optimizadas para no afectar el rendimiento del sistema, incluso con muchos usuarios.</t>
  </si>
  <si>
    <t>El diseño de la sección Puntos debe ser coherente con el resto del dashboard (tema oscuro, tipografías, espaciados, componentes reutilizados).</t>
  </si>
  <si>
    <t>La presentación de los valores (tasa, totales de puntos, promedios) debe usar el formato de moneda y número apropiado para la región configurada.</t>
  </si>
  <si>
    <t>El campo de búsqueda por nombre o email debe responder con baja latencia y tolerar mayúsculas/minúsculas, facilitando encontrar rápidamente un usuario.</t>
  </si>
  <si>
    <t>La tabla de usuarios y la paginación deben seguir siendo usables y legibles incluso cuando haya muchos registros.</t>
  </si>
  <si>
    <t>El acceso a la sección Puntos debe estar restringido a usuarios autenticados con permisos de administración.</t>
  </si>
  <si>
    <t>Los estados de los usuarios en el sistema de puntos (Activo/Inactivo) deben distinguirse de forma clara mediante texto y, opcionalmente, color, respetando criterios de accesibilidad.</t>
  </si>
  <si>
    <t>El historial de puntos de un usuario debe cargarse de forma eficiente, mostrando únicamente los movimientos necesarios, con la posibilidad de paginación si el volumen es alto.</t>
  </si>
  <si>
    <t>Los datos mostrados en la tabla y en el historial (cantidades, saldos, descripciones) deben coincidir exactamente con los movimientos registrados en la base de datos (consistencia).</t>
  </si>
  <si>
    <t>Cualquier actualización de la configuración de puntos debe aplicarse de forma atómica y registrarse (fecha, usuario que la realizó) siguiendo las políticas de auditoría del backend.</t>
  </si>
  <si>
    <t>La sección debe cumplir criterios básicos de accesibilidad: contraste suficiente, foco visible y navegación por teclado para todos los elementos interactivos (botón de actualización, búsqueda, enlaces de historial).</t>
  </si>
  <si>
    <t>En caso de error al cargar los datos de puntos o el historial de un usuario, el sistema debe mostrar un mensaje claro al administrador y, cuando sea posible, ofrecer la opción de reintentar.</t>
  </si>
  <si>
    <t>REQUIRIMIENTOS FUNCIONALES BARRA INFORMATIVA</t>
  </si>
  <si>
    <t>El sistema debe mostrar una vista previa de cómo se verá la barra informativa en la parte superior de la tienda.</t>
  </si>
  <si>
    <t>El sistema debe permitir configurar el mensaje de la barra informativa mediante un campo de texto.</t>
  </si>
  <si>
    <t>El sistema debe mostrar un contador de caracteres del mensaje (por ejemplo “28/100”) y limitar el máximo permitido según la configuración.</t>
  </si>
  <si>
    <t>El sistema debe permitir usar HTML básico en el mensaje (por ejemplo &lt;strong&gt;, &lt;em&gt;, &lt;br&gt;), según lo indicado en la interfaz.</t>
  </si>
  <si>
    <t>El sistema debe permitir activar o desactivar la barra mediante un interruptor “Activo”.</t>
  </si>
  <si>
    <t>El sistema debe permitir mostrar u ocultar la barra mediante un interruptor “Visible”.</t>
  </si>
  <si>
    <t>El sistema debe permitir configurar el color de fondo de la barra mediante un selector/entrada de color.</t>
  </si>
  <si>
    <t>El sistema debe permitir configurar el color del texto de la barra mediante un selector/entrada de color.</t>
  </si>
  <si>
    <t>El sistema debe permitir definir una fecha de inicio opcional de vigencia de la barra (selector de fecha).</t>
  </si>
  <si>
    <t>El sistema debe permitir definir una fecha de fin opcional de vigencia de la barra (selector de fecha).</t>
  </si>
  <si>
    <t>El sistema debe permitir activar una opción para añadir un botón con enlace (CTA) en la barra (según la sección “Añadir botón con enlace (CTA)”).</t>
  </si>
  <si>
    <t>El sistema debe permitir guardar la configuración de la barra informativa mediante el botón “Guardar Configuración”.</t>
  </si>
  <si>
    <t>Al guardar, el sistema debe persistir todos los valores configurados (mensaje, activo/visible, colores, fechas, CTA) para que se reflejen en la tienda.</t>
  </si>
  <si>
    <t>La sección “Barra informativa” debe estar accesible desde el menú lateral del admin y quedar resaltada cuando se está en ella.</t>
  </si>
  <si>
    <t>REQUIRIMIENTOS NO FUNCIONALES BARRA INFORMATIVA</t>
  </si>
  <si>
    <t>La carga de la vista de configuración debe ser rápida y no bloquear la interfaz del administrador.</t>
  </si>
  <si>
    <t>La vista previa debe actualizarse de forma fluida cuando el administrador cambia el mensaje o colores, sin recargar la página completa.</t>
  </si>
  <si>
    <t>La validación del límite de caracteres debe ser inmediata y evitar que se exceda el máximo permitido.</t>
  </si>
  <si>
    <t>El soporte de HTML básico debe ser seguro: el sistema debe restringir etiquetas permitidas y evitar inyección de scripts o HTML peligroso.</t>
  </si>
  <si>
    <t>La interfaz debe ser coherente con el resto del dashboard (tema oscuro, tipografía, espaciados, componentes).</t>
  </si>
  <si>
    <t>Los controles (toggles, inputs, date pickers, selector de color) deben ser accesibles por teclado y con foco visible.</t>
  </si>
  <si>
    <t>Los colores elegidos deben respetar contraste suficiente para legibilidad (especialmente texto sobre fondo), alertando o previniendo combinaciones ilegibles si es posible.</t>
  </si>
  <si>
    <t>La configuración guardada debe reflejarse de manera consistente en la tienda (misma apariencia que la vista previa).</t>
  </si>
  <si>
    <t>La lógica de fechas (inicio/fin) debe evaluarse con una zona horaria consistente definida por la instancia (no depender solo del reloj del navegador).</t>
  </si>
  <si>
    <t>En caso de error al guardar la configuración, el sistema debe mostrar un mensaje claro y mantener los cambios del formulario para reintentar.</t>
  </si>
  <si>
    <t>El guardado de configuración debe ser atómico: o se guarda todo correctamente o no se aplica ningún cambio parcial.</t>
  </si>
  <si>
    <t>Los textos, etiquetas y ayuda (“Puedes usar HTML básico…”) deben estar en español y ser consistentes con el resto del sistema.</t>
  </si>
  <si>
    <t>La sección debe permitir futuras extensiones (más estilos, múltiples mensajes) sin romper el diseño actual.</t>
  </si>
  <si>
    <t>La configuración debe registrar auditoría básica en backend (fecha de actualización y usuario que la realizó) si el sistema maneja auditoría.</t>
  </si>
  <si>
    <t>REQUIRIMIENTOS FUNCIONALES BOTON AYUDA</t>
  </si>
  <si>
    <t>El sistema debe mostrar la sección “Analytics Avanzados” dentro del dashboard de admin.</t>
  </si>
  <si>
    <t>La sección debe incluir un botón “Actualizar” para refrescar los datos mostrados.</t>
  </si>
  <si>
    <t>La sección debe tener pestañas para cambiar de vista entre: Conversión, Tráfico, Clientes y Productos</t>
  </si>
  <si>
    <t>En la vista Conversión, el sistema debe mostrar una tarjeta con la Tasa de conversión (porcentaje).</t>
  </si>
  <si>
    <t>En la vista Conversión, el sistema debe mostrar una tarjeta con el Valor promedio de orden.</t>
  </si>
  <si>
    <t>En la vista Conversión, el sistema debe mostrar una tarjeta con el Total de órdenes.</t>
  </si>
  <si>
    <t>En la vista Conversión, el sistema debe mostrar una tarjeta con Ingresos totales.</t>
  </si>
  <si>
    <t>En la vista Conversión, el sistema debe mostrar un bloque de Performance por categoría con:
Gráfico de participación por categoría (tipo dona), Gráfico de ventas por categoría (barras) y un ranking/lista por categoría con su valor (ventas)</t>
  </si>
  <si>
    <t>En la vista Tráfico, el sistema debe mostrar un gráfico de Tráfico por horas (órdenes por hora del día, “últimos 30 días”).</t>
  </si>
  <si>
    <t>En la vista Tráfico, el sistema debe mostrar indicadores de Pico y Valle (hora y cantidad).</t>
  </si>
  <si>
    <t>En la vista Tráfico, el sistema debe mostrar el Promedio de órdenes/hora.</t>
  </si>
  <si>
    <t>En la vista Tráfico, el sistema debe mostrar un módulo de Ventas por región con listado de regiones y valores (órdenes y monto).</t>
  </si>
  <si>
    <t>En la vista Clientes, el sistema debe mostrar el bloque Demografía de clientes con distribución por rangos de edad.</t>
  </si>
  <si>
    <t>En la vista Clientes, el sistema debe mostrar un módulo de Ventas por región (mismo tipo de bloque visible).</t>
  </si>
  <si>
    <t>En la vista Productos, el sistema debe mostrar un módulo “Métricas de productos” que incluya: Productos activos, Productos inactivos, Sin stock, Precio promedio, Rating promedio</t>
  </si>
  <si>
    <t>En la vista Productos, el sistema debe mostrar el bloque de Performance por categoría (participación/ventas) y el ranking por categoría.</t>
  </si>
  <si>
    <t>Los valores monetarios mostrados en tarjetas y gráficos deben presentarse con símbolo de moneda y separadores de miles (como se ve en la UI).</t>
  </si>
  <si>
    <t>La sección de analíticas debe cargar sin bloquear la interfaz del administrador (mantener la UI usable mientras se obtienen datos).</t>
  </si>
  <si>
    <t>El botón “Actualizar” debe dar retroalimentación visual durante la recarga (por ejemplo estado de carga) y evitar dobles ejecuciones accidentales.</t>
  </si>
  <si>
    <t>El cambio entre pestañas (Conversión/Tráfico/Clientes/Productos) debe ser fluido y mantener el layout estable (sin saltos bruscos).</t>
  </si>
  <si>
    <t>Los gráficos deben renderizarse correctamente en pantallas grandes y medianas sin desbordes, manteniendo legibilidad de títulos y ejes.</t>
  </si>
  <si>
    <t>Los colores usados en gráficos (barras/dona) deben ser distinguibles entre categorías y mantener contraste suficiente sobre el tema oscuro.</t>
  </si>
  <si>
    <t>Los números (porcentaje, moneda, conteos) deben estar formateados de forma consistente en todas las tarjetas y vistas.</t>
  </si>
  <si>
    <t>La información mostrada debe ser consistente entre vistas (por ejemplo, “Ingresos totales” y “Total de órdenes” no deben contradecirse entre Conversión y otras pantallas).</t>
  </si>
  <si>
    <t>Si falta data (por ejemplo, no hay ventas en una región o una categoría), la UI debe mostrar 0 o “sin datos” sin romper el gráfico.</t>
  </si>
  <si>
    <t>La sección debe manejar errores de carga (API caída, timeout) mostrando un mensaje claro y permitiendo reintentar con “Actualizar”.</t>
  </si>
  <si>
    <t>La sección debe estar restringida a usuarios admin autenticados (no debe ser accesible públicamente).
El listado/ranking por categoría debe mantenerse legible cuando existan muchas categorías (scroll interno o truncamiento sin romper el diseño).</t>
  </si>
  <si>
    <t>Los textos de la UI deben estar en español y ser consistentes (títulos, labels, subtítulos).
Los datos mostrados deben corresponder a un rango temporal coherente con lo indicado (por ejemplo “últimos 30 días” en Tráfico por horas).</t>
  </si>
  <si>
    <t>Los gráficos y tarjetas deben respetar accesibilidad básica: tamaños de fuente legibles, contraste, y no depender solo del color para transmitir el significado (cuando aplique).</t>
  </si>
  <si>
    <t>REQUIRIMIENTOS FUNCIONALES BOT-ADMIN</t>
  </si>
  <si>
    <t>El sistema debe permitir a un administrador abrir y cerrar el panel “Asistente de administración” desde el dashboard.</t>
  </si>
  <si>
    <t>El panel debe mostrar un texto de ayuda con ejemplos de uso (p. ej. “órdenes pendientes, órdenes recientes, productos más vendidos, resumen de ventas…”).</t>
  </si>
  <si>
    <t>El panel debe incluir un campo de entrada para escribir preguntas y un botón para enviar el mensaje.</t>
  </si>
  <si>
    <t>El sistema debe impedir el envío de mensajes vacíos (solo espacios).</t>
  </si>
  <si>
    <t>El sistema debe impedir enviar mensajes cuando la IA esté deshabilitada/no disponible (estado aiEnabled).</t>
  </si>
  <si>
    <t>El sistema debe soportar respuesta por streaming (SSE), actualizando el mensaje del asistente a medida que llegan fragmentos.</t>
  </si>
  <si>
    <t>El sistema debe mostrar el contenido del asistente renderizado como texto enriquecido (markdown) cuando aplique.</t>
  </si>
  <si>
    <t>El sistema debe mostrar mensajes de error claros cuando el chat falle (por ejemplo “IA no disponible” o el detalle del error).</t>
  </si>
  <si>
    <t>El sistema debe permitir limpiar la conversación (borrar historial del panel) mediante una acción dedicada.</t>
  </si>
  <si>
    <t>El sistema debe evitar limpiar la conversación si hay una respuesta en curso (no permitir “borrar chat” durante loading).</t>
  </si>
  <si>
    <t>El sistema debe hacer autoscroll al final de la conversación cuando llegan nuevos mensajes y el panel está abierto.</t>
  </si>
  <si>
    <t>Si la IA no está configurada (sin API key), el backend debe responder con error controlado indicando que no está disponible.</t>
  </si>
  <si>
    <t>Cuando la respuesta incluya metadata de “entidades afectadas”, el frontend debe invalidar caches/queries relacionadas (p. ej. brands, providers, categories, discounts, products, filter-options) para reflejar cambios.</t>
  </si>
  <si>
    <t>REQUIRIMIENTOS NO FUNCIONALES BOT-ADMIN</t>
  </si>
  <si>
    <t>El panel debe ser consistente con el diseño del dashboard (tema oscuro, tipografía, espaciados) y no romper el layout en móvil/escritorio.</t>
  </si>
  <si>
    <t>El panel debe mantener la interfaz responsiva mientras llega el streaming (sin congelar la UI).</t>
  </si>
  <si>
    <t>El streaming SSE debe ser tolerante a fragmentación y líneas no JSON (ignorarlas sin romper la sesión).</t>
  </si>
  <si>
    <t>El sistema debe manejar desconexiones o fallos de red mostrando un error entendible y permitiendo reintentar con un nuevo mensaje.</t>
  </si>
  <si>
    <t>El backend debe retornar códigos HTTP coherentes: 200 en éxito, 400 en entrada inválida, 401/403 en falta de permisos, 503 si IA no configurada, 502 si falla upstream, 500 en error inesperado.</t>
  </si>
  <si>
    <t>El sistema debe evitar exponer información sensible en errores (mensajes “seguros” para el usuario).</t>
  </si>
  <si>
    <t>El tiempo de respuesta debe ser razonable: el usuario debe ver feedback de carga inmediatamente al enviar una pregunta.</t>
  </si>
  <si>
    <t>El panel debe ser accesible: foco visible en input/botón, navegación por teclado y controles con etiquetas/roles adecuados.</t>
  </si>
  <si>
    <t>El sistema debe prevenir envíos duplicados accidentales mientras hay una solicitud en curso (loading).</t>
  </si>
  <si>
    <t>El historial del chat debe renderizarse de forma estable sin saltos bruscos de layout al actualizar el texto del asistente.</t>
  </si>
  <si>
    <t>El sistema debe limitar el tamaño del mensaje (backend) para evitar abuso y degradación del rendimiento.</t>
  </si>
  <si>
    <t>Los endpoints del bot deben estar protegidos por autenticación y autorización (admin) para evitar acceso público.</t>
  </si>
  <si>
    <t>La invalidación de queries basada en “entidades afectadas” debe ser segura: si llega una entidad desconocida, no debe romper el panel.</t>
  </si>
  <si>
    <t>La UI debe mostrar estados vacíos/guía cuando no hay mensajes, sin depender de datos del backend.</t>
  </si>
  <si>
    <t>El tour contextual debe existir (según ruta) al menos para estas secciones, porque están definidas en el código:Órdenes (/admin/orders),Productos listado (/admin/products), Crear producto, (/admin/products/create), Categorías/Líneas/Sublíneas (/admin/categories, /admin/lines, /admin/sublines), Atributos (/admin/attributes), Marcas (/admin/brands) ,Proveedores ,(/admin/providers) ,Usuarios (/admin/users) ,Descuentos (/admin/discounts) ,Puntos (/admin/points), Barra informativa (/admin/info-bar) ,Analíticas (/admin/analytics)</t>
  </si>
  <si>
    <t>El sistema debe permitir navegar a otras secciones del admin desde el menú lateral.</t>
  </si>
  <si>
    <t>REQUIRIMIENTOS NO FUNCIONALES BOTON AYUDA</t>
  </si>
</sst>
</file>

<file path=xl/styles.xml><?xml version="1.0" encoding="utf-8"?>
<styleSheet xmlns="http://schemas.openxmlformats.org/spreadsheetml/2006/main" xmlns:x14ac="http://schemas.microsoft.com/office/spreadsheetml/2009/9/ac" xmlns:mc="http://schemas.openxmlformats.org/markup-compatibility/2006">
  <fonts count="36">
    <font>
      <sz val="11.0"/>
      <color theme="1"/>
      <name val="Calibri"/>
      <scheme val="minor"/>
    </font>
    <font>
      <sz val="11.0"/>
      <color rgb="FFFFFFFF"/>
      <name val="Calibri"/>
    </font>
    <font>
      <sz val="11.0"/>
      <color theme="1"/>
      <name val="Calibri"/>
    </font>
    <font>
      <u/>
      <sz val="11.0"/>
      <color theme="10"/>
      <name val="Calibri"/>
    </font>
    <font>
      <u/>
      <sz val="16.0"/>
      <color rgb="FF0563C1"/>
    </font>
    <font>
      <u/>
      <sz val="11.0"/>
      <color theme="10"/>
      <name val="Calibri"/>
    </font>
    <font>
      <sz val="12.0"/>
      <color theme="1"/>
      <name val="Calibri"/>
    </font>
    <font/>
    <font>
      <sz val="12.0"/>
      <color rgb="FF242424"/>
      <name val="Arial"/>
    </font>
    <font>
      <sz val="12.0"/>
      <color rgb="FF242424"/>
      <name val="Aptos Narrow"/>
    </font>
    <font>
      <u/>
      <sz val="12.0"/>
      <color rgb="FF0563C1"/>
      <name val="Arial"/>
    </font>
    <font>
      <color theme="1"/>
      <name val="Calibri"/>
    </font>
    <font>
      <sz val="16.0"/>
      <color theme="1"/>
      <name val="Calibri"/>
    </font>
    <font>
      <b/>
      <sz val="12.0"/>
      <color theme="1"/>
      <name val="Arial"/>
    </font>
    <font>
      <b/>
      <sz val="14.0"/>
      <color theme="0"/>
      <name val="Calibri"/>
    </font>
    <font>
      <b/>
      <sz val="12.0"/>
      <color theme="1"/>
      <name val="Calibri"/>
    </font>
    <font>
      <b/>
      <sz val="11.0"/>
      <color theme="1"/>
      <name val="Calibri"/>
    </font>
    <font>
      <sz val="11.0"/>
      <color rgb="FF000000"/>
      <name val="Consolas"/>
    </font>
    <font>
      <sz val="14.0"/>
      <color theme="0"/>
      <name val="Calibri"/>
    </font>
    <font>
      <sz val="14.0"/>
      <color rgb="FF000000"/>
      <name val="Calibri"/>
    </font>
    <font>
      <sz val="11.0"/>
      <color rgb="FF000000"/>
      <name val="Calibri"/>
    </font>
    <font>
      <sz val="14.0"/>
      <color theme="1"/>
      <name val="Calibri"/>
    </font>
    <font>
      <b/>
      <sz val="14.0"/>
      <color theme="1"/>
      <name val="Calibri"/>
    </font>
    <font>
      <u/>
      <sz val="11.0"/>
      <color theme="10"/>
      <name val="Calibri"/>
    </font>
    <font>
      <sz val="11.0"/>
      <color rgb="FFF8F8F2"/>
      <name val="-Apple-System"/>
    </font>
    <font>
      <sz val="14.0"/>
      <color rgb="FFFFFFFF"/>
      <name val="Calibri"/>
    </font>
    <font>
      <u/>
      <sz val="11.0"/>
      <color theme="10"/>
      <name val="Calibri"/>
    </font>
    <font>
      <u/>
      <sz val="11.0"/>
      <color theme="10"/>
      <name val="Calibri"/>
    </font>
    <font>
      <b/>
      <sz val="12.0"/>
      <color rgb="FF3A3838"/>
      <name val="Arial"/>
    </font>
    <font>
      <sz val="12.0"/>
      <color rgb="FF000000"/>
      <name val="Calibri"/>
    </font>
    <font>
      <sz val="10.0"/>
      <color theme="1"/>
      <name val="Calibri"/>
      <scheme val="minor"/>
    </font>
    <font>
      <b/>
      <u/>
      <sz val="12.0"/>
      <color rgb="FF3A3838"/>
      <name val="Arial"/>
    </font>
    <font>
      <sz val="18.0"/>
      <color theme="1"/>
      <name val="Calibri"/>
    </font>
    <font>
      <sz val="11.0"/>
      <color rgb="FF242424"/>
      <name val="Arial"/>
    </font>
    <font>
      <sz val="11.0"/>
      <color theme="0"/>
      <name val="Calibri"/>
    </font>
    <font>
      <b/>
      <sz val="11.0"/>
      <color theme="0"/>
      <name val="Calibri"/>
    </font>
  </fonts>
  <fills count="27">
    <fill>
      <patternFill patternType="none"/>
    </fill>
    <fill>
      <patternFill patternType="lightGray"/>
    </fill>
    <fill>
      <patternFill patternType="solid">
        <fgColor theme="4"/>
        <bgColor theme="4"/>
      </patternFill>
    </fill>
    <fill>
      <patternFill patternType="solid">
        <fgColor rgb="FFD9E2F3"/>
        <bgColor rgb="FFD9E2F3"/>
      </patternFill>
    </fill>
    <fill>
      <patternFill patternType="solid">
        <fgColor theme="0"/>
        <bgColor theme="0"/>
      </patternFill>
    </fill>
    <fill>
      <patternFill patternType="solid">
        <fgColor rgb="FFBFBFBF"/>
        <bgColor rgb="FFBFBFBF"/>
      </patternFill>
    </fill>
    <fill>
      <patternFill patternType="solid">
        <fgColor rgb="FFE7E6E6"/>
        <bgColor rgb="FFE7E6E6"/>
      </patternFill>
    </fill>
    <fill>
      <patternFill patternType="solid">
        <fgColor rgb="FFDADADA"/>
        <bgColor rgb="FFDADADA"/>
      </patternFill>
    </fill>
    <fill>
      <patternFill patternType="solid">
        <fgColor rgb="FFFFC000"/>
        <bgColor rgb="FFFFC000"/>
      </patternFill>
    </fill>
    <fill>
      <patternFill patternType="solid">
        <fgColor rgb="FF375623"/>
        <bgColor rgb="FF375623"/>
      </patternFill>
    </fill>
    <fill>
      <patternFill patternType="solid">
        <fgColor rgb="FFF2F2F2"/>
        <bgColor rgb="FFF2F2F2"/>
      </patternFill>
    </fill>
    <fill>
      <patternFill patternType="solid">
        <fgColor rgb="FF385623"/>
        <bgColor rgb="FF385623"/>
      </patternFill>
    </fill>
    <fill>
      <patternFill patternType="solid">
        <fgColor theme="7"/>
        <bgColor theme="7"/>
      </patternFill>
    </fill>
    <fill>
      <patternFill patternType="solid">
        <fgColor rgb="FFFF0066"/>
        <bgColor rgb="FFFF0066"/>
      </patternFill>
    </fill>
    <fill>
      <patternFill patternType="solid">
        <fgColor rgb="FF806000"/>
        <bgColor rgb="FF806000"/>
      </patternFill>
    </fill>
    <fill>
      <patternFill patternType="solid">
        <fgColor rgb="FF7F6000"/>
        <bgColor rgb="FF7F6000"/>
      </patternFill>
    </fill>
    <fill>
      <patternFill patternType="solid">
        <fgColor rgb="FFA6D1E3"/>
        <bgColor rgb="FFA6D1E3"/>
      </patternFill>
    </fill>
    <fill>
      <patternFill patternType="solid">
        <fgColor rgb="FFED7D31"/>
        <bgColor rgb="FFED7D31"/>
      </patternFill>
    </fill>
    <fill>
      <patternFill patternType="solid">
        <fgColor theme="5"/>
        <bgColor theme="5"/>
      </patternFill>
    </fill>
    <fill>
      <patternFill patternType="solid">
        <fgColor rgb="FF800000"/>
        <bgColor rgb="FF800000"/>
      </patternFill>
    </fill>
    <fill>
      <patternFill patternType="solid">
        <fgColor rgb="FFC60606"/>
        <bgColor rgb="FFC60606"/>
      </patternFill>
    </fill>
    <fill>
      <patternFill patternType="solid">
        <fgColor rgb="FF9BC2E6"/>
        <bgColor rgb="FF9BC2E6"/>
      </patternFill>
    </fill>
    <fill>
      <patternFill patternType="solid">
        <fgColor rgb="FF9CC2E5"/>
        <bgColor rgb="FF9CC2E5"/>
      </patternFill>
    </fill>
    <fill>
      <patternFill patternType="solid">
        <fgColor rgb="FFF5F5F5"/>
        <bgColor rgb="FFF5F5F5"/>
      </patternFill>
    </fill>
    <fill>
      <patternFill patternType="solid">
        <fgColor rgb="FF993366"/>
        <bgColor rgb="FF993366"/>
      </patternFill>
    </fill>
    <fill>
      <patternFill patternType="solid">
        <fgColor rgb="FFFFFF00"/>
        <bgColor rgb="FFFFFF00"/>
      </patternFill>
    </fill>
    <fill>
      <patternFill patternType="solid">
        <fgColor rgb="FFE38383"/>
        <bgColor rgb="FFE38383"/>
      </patternFill>
    </fill>
  </fills>
  <borders count="126">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FFC000"/>
      </left>
      <top/>
      <bottom/>
    </border>
    <border>
      <top/>
      <bottom/>
    </border>
    <border>
      <left style="thin">
        <color rgb="FFA8D08D"/>
      </left>
      <top style="thin">
        <color rgb="FFA8D08D"/>
      </top>
      <bottom style="thin">
        <color rgb="FFA8D08D"/>
      </bottom>
    </border>
    <border>
      <right style="thin">
        <color rgb="FFA8D08D"/>
      </right>
      <top style="thin">
        <color rgb="FFA8D08D"/>
      </top>
      <bottom style="thin">
        <color rgb="FFA8D08D"/>
      </bottom>
    </border>
    <border>
      <top style="thin">
        <color rgb="FFFFC000"/>
      </top>
    </border>
    <border>
      <left style="thin">
        <color rgb="FF757070"/>
      </left>
      <top style="thin">
        <color rgb="FF757070"/>
      </top>
      <bottom style="thin">
        <color rgb="FF757070"/>
      </bottom>
    </border>
    <border>
      <top style="thin">
        <color rgb="FF757070"/>
      </top>
      <bottom style="thin">
        <color rgb="FF757070"/>
      </bottom>
    </border>
    <border>
      <right style="thin">
        <color rgb="FF757070"/>
      </right>
      <top style="thin">
        <color rgb="FF757070"/>
      </top>
      <bottom style="thin">
        <color rgb="FF757070"/>
      </bottom>
    </border>
    <border>
      <left style="thin">
        <color rgb="FF757070"/>
      </left>
      <right style="thin">
        <color rgb="FF757070"/>
      </right>
      <top style="thin">
        <color rgb="FF757070"/>
      </top>
    </border>
    <border>
      <top style="thin">
        <color rgb="FFA8D08D"/>
      </top>
      <bottom style="thin">
        <color rgb="FFA8D08D"/>
      </bottom>
    </border>
    <border>
      <left style="thin">
        <color rgb="FF757070"/>
      </left>
      <right style="thin">
        <color rgb="FF757070"/>
      </right>
      <top style="thin">
        <color rgb="FF757070"/>
      </top>
      <bottom style="thin">
        <color rgb="FF757070"/>
      </bottom>
    </border>
    <border>
      <left/>
      <right style="thin">
        <color rgb="FF757070"/>
      </right>
      <top style="thin">
        <color rgb="FF757070"/>
      </top>
      <bottom style="thin">
        <color rgb="FF757070"/>
      </bottom>
    </border>
    <border>
      <left style="thin">
        <color rgb="FF757070"/>
      </left>
      <right style="thin">
        <color rgb="FF757070"/>
      </right>
      <bottom style="thin">
        <color rgb="FF757070"/>
      </bottom>
    </border>
    <border>
      <left style="thin">
        <color rgb="FFA8D08D"/>
      </left>
      <right style="thin">
        <color rgb="FFA8D08D"/>
      </right>
      <top style="thin">
        <color rgb="FFA8D08D"/>
      </top>
    </border>
    <border>
      <left style="thin">
        <color rgb="FFA8D08D"/>
      </left>
      <top style="thin">
        <color rgb="FFA8D08D"/>
      </top>
    </border>
    <border>
      <right style="thin">
        <color rgb="FFA8D08D"/>
      </right>
      <top style="thin">
        <color rgb="FFA8D08D"/>
      </top>
    </border>
    <border>
      <top style="thin">
        <color rgb="FF757070"/>
      </top>
    </border>
    <border>
      <left style="thin">
        <color rgb="FF385623"/>
      </left>
      <right/>
      <top style="thin">
        <color rgb="FF385623"/>
      </top>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right style="thin">
        <color rgb="FF385623"/>
      </right>
    </border>
    <border>
      <left style="thin">
        <color rgb="FF000000"/>
      </left>
      <top style="thin">
        <color rgb="FF000000"/>
      </top>
      <bottom/>
    </border>
    <border>
      <right style="thin">
        <color rgb="FF000000"/>
      </right>
      <top style="thin">
        <color rgb="FF000000"/>
      </top>
      <bottom/>
    </border>
    <border>
      <left style="thin">
        <color rgb="FF000000"/>
      </left>
    </border>
    <border>
      <right style="thin">
        <color rgb="FF000000"/>
      </right>
    </border>
    <border>
      <left style="thin">
        <color rgb="FFA8D08D"/>
      </left>
      <right style="thin">
        <color rgb="FFA8D08D"/>
      </right>
      <top style="thin">
        <color rgb="FFA8D08D"/>
      </top>
      <bottom style="thin">
        <color rgb="FFA8D08D"/>
      </bottom>
    </border>
    <border>
      <left/>
      <top/>
      <bottom/>
    </border>
    <border>
      <left style="thin">
        <color rgb="FF993366"/>
      </left>
      <top style="thin">
        <color rgb="FF993366"/>
      </top>
    </border>
    <border>
      <right style="thin">
        <color rgb="FF993366"/>
      </right>
      <top style="thin">
        <color rgb="FF993366"/>
      </top>
    </border>
    <border>
      <left style="thin">
        <color rgb="FFFF0066"/>
      </left>
      <right/>
      <top style="thin">
        <color rgb="FFFF0066"/>
      </top>
      <bottom/>
    </border>
    <border>
      <left style="thin">
        <color rgb="FFFF0066"/>
      </left>
      <right/>
      <top style="thin">
        <color theme="0"/>
      </top>
      <bottom style="thin">
        <color theme="0"/>
      </bottom>
    </border>
    <border>
      <left style="thin">
        <color rgb="FFFF0066"/>
      </left>
      <right/>
      <top style="thin">
        <color theme="0"/>
      </top>
      <bottom style="thin">
        <color rgb="FFFF0066"/>
      </bottom>
    </border>
    <border>
      <right style="thin">
        <color rgb="FF757070"/>
      </right>
      <top style="thin">
        <color rgb="FF757070"/>
      </top>
    </border>
    <border>
      <left style="thin">
        <color rgb="FF757070"/>
      </left>
      <right style="thin">
        <color rgb="FF757070"/>
      </right>
      <top style="thin">
        <color rgb="FF757070"/>
      </top>
      <bottom style="thin">
        <color rgb="FF000000"/>
      </bottom>
    </border>
    <border>
      <right style="thin">
        <color rgb="FF757070"/>
      </right>
      <top style="thin">
        <color rgb="FF757070"/>
      </top>
      <bottom style="thin">
        <color rgb="FF000000"/>
      </bottom>
    </border>
    <border>
      <left style="thin">
        <color rgb="FFFF0066"/>
      </left>
      <top style="thin">
        <color theme="0"/>
      </top>
      <bottom style="thin">
        <color rgb="FFFF0066"/>
      </bottom>
    </border>
    <border>
      <left style="thin">
        <color rgb="FF993366"/>
      </left>
      <bottom style="thin">
        <color rgb="FF993366"/>
      </bottom>
    </border>
    <border>
      <right style="thin">
        <color rgb="FF993366"/>
      </right>
      <bottom style="thin">
        <color rgb="FF993366"/>
      </bottom>
    </border>
    <border>
      <left style="thin">
        <color rgb="FF993366"/>
      </left>
      <top style="thin">
        <color rgb="FF993366"/>
      </top>
      <bottom style="thin">
        <color rgb="FF993366"/>
      </bottom>
    </border>
    <border>
      <right style="thin">
        <color rgb="FF993366"/>
      </right>
      <top style="thin">
        <color rgb="FF993366"/>
      </top>
      <bottom style="thin">
        <color rgb="FF993366"/>
      </bottom>
    </border>
    <border>
      <top style="thin">
        <color rgb="FF000000"/>
      </top>
    </border>
    <border>
      <left style="thin">
        <color rgb="FF7F6000"/>
      </left>
      <right/>
      <top style="thin">
        <color theme="0"/>
      </top>
      <bottom/>
    </border>
    <border>
      <left style="thin">
        <color rgb="FF7F6000"/>
      </left>
      <right style="thin">
        <color rgb="FF757070"/>
      </right>
    </border>
    <border>
      <left style="thin">
        <color rgb="FF7F6000"/>
      </left>
      <right/>
      <top style="thin">
        <color theme="0"/>
      </top>
      <bottom style="thin">
        <color rgb="FF000000"/>
      </bottom>
    </border>
    <border>
      <left style="thin">
        <color rgb="FF7F6000"/>
      </left>
      <right/>
      <top style="thin">
        <color rgb="FF7F6000"/>
      </top>
      <bottom/>
    </border>
    <border>
      <left style="thin">
        <color rgb="FF7F6000"/>
      </left>
      <right style="thin">
        <color rgb="FF7F6000"/>
      </right>
      <top style="thin">
        <color rgb="FF7F6000"/>
      </top>
      <bottom/>
    </border>
    <border>
      <top style="thin">
        <color rgb="FF7F6000"/>
      </top>
      <bottom style="thin">
        <color rgb="FF7F6000"/>
      </bottom>
    </border>
    <border>
      <right style="thin">
        <color rgb="FF7F6000"/>
      </right>
      <top style="thin">
        <color rgb="FF7F6000"/>
      </top>
      <bottom style="thin">
        <color rgb="FF7F6000"/>
      </bottom>
    </border>
    <border>
      <left style="thin">
        <color rgb="FF7F6000"/>
      </left>
      <right style="thin">
        <color rgb="FF7F6000"/>
      </right>
      <top style="thin">
        <color theme="0"/>
      </top>
      <bottom/>
    </border>
    <border>
      <right style="thin">
        <color rgb="FFFEF2CB"/>
      </right>
    </border>
    <border>
      <left style="thin">
        <color rgb="FF7F6000"/>
      </left>
      <top style="thin">
        <color rgb="FF7F6000"/>
      </top>
      <bottom style="thin">
        <color rgb="FF7F6000"/>
      </bottom>
    </border>
    <border>
      <top style="thin">
        <color rgb="FF7F6000"/>
      </top>
    </border>
    <border>
      <right style="thin">
        <color rgb="FF7F6000"/>
      </right>
      <top style="thin">
        <color rgb="FF7F6000"/>
      </top>
    </border>
    <border>
      <top style="thin">
        <color rgb="FF7F6000"/>
      </top>
      <bottom style="thin">
        <color rgb="FF000000"/>
      </bottom>
    </border>
    <border>
      <right style="thin">
        <color rgb="FF7F6000"/>
      </right>
      <top style="thin">
        <color rgb="FF7F6000"/>
      </top>
      <bottom style="thin">
        <color rgb="FF000000"/>
      </bottom>
    </border>
    <border>
      <left style="thin">
        <color rgb="FF7F6000"/>
      </left>
      <top style="thin">
        <color rgb="FF7F6000"/>
      </top>
    </border>
    <border>
      <right style="thin">
        <color rgb="FF757070"/>
      </right>
    </border>
    <border>
      <right style="thin">
        <color rgb="FF7F6000"/>
      </right>
    </border>
    <border>
      <left style="thin">
        <color rgb="FFFF9933"/>
      </left>
      <right style="thin">
        <color rgb="FFFEF2CB"/>
      </right>
      <top style="thin">
        <color rgb="FFFF9933"/>
      </top>
      <bottom/>
    </border>
    <border>
      <left style="thin">
        <color rgb="FFFEF2CB"/>
      </left>
      <top style="thin">
        <color rgb="FFFF9933"/>
      </top>
    </border>
    <border>
      <right style="thin">
        <color rgb="FFFF9933"/>
      </right>
      <top style="thin">
        <color rgb="FFFF9933"/>
      </top>
    </border>
    <border>
      <left style="thin">
        <color rgb="FFFF9933"/>
      </left>
      <right style="thin">
        <color rgb="FFFEF2CB"/>
      </right>
      <top style="thin">
        <color theme="0"/>
      </top>
      <bottom/>
    </border>
    <border>
      <left style="thin">
        <color rgb="FFFEF2CB"/>
      </left>
      <top style="thin">
        <color rgb="FFFF9933"/>
      </top>
      <bottom style="thin">
        <color rgb="FFFF9933"/>
      </bottom>
    </border>
    <border>
      <right style="thin">
        <color rgb="FFFF9933"/>
      </right>
      <top style="thin">
        <color rgb="FFFF9933"/>
      </top>
      <bottom style="thin">
        <color rgb="FFFF9933"/>
      </bottom>
    </border>
    <border>
      <left style="thin">
        <color rgb="FFFF9933"/>
      </left>
      <right style="thin">
        <color theme="0"/>
      </right>
      <top style="thin">
        <color theme="0"/>
      </top>
      <bottom/>
    </border>
    <border>
      <top style="thin">
        <color rgb="FFFF9933"/>
      </top>
      <bottom style="thin">
        <color rgb="FFFF9933"/>
      </bottom>
    </border>
    <border>
      <left style="thin">
        <color rgb="FFFF9933"/>
      </left>
      <right style="thin">
        <color rgb="FFFEF2CB"/>
      </right>
      <top style="thin">
        <color theme="0"/>
      </top>
      <bottom style="thin">
        <color rgb="FFFF9933"/>
      </bottom>
    </border>
    <border>
      <left/>
      <right/>
      <top/>
      <bottom style="thin">
        <color rgb="FF000000"/>
      </bottom>
    </border>
    <border>
      <left style="thin">
        <color theme="5"/>
      </left>
      <top style="thin">
        <color theme="5"/>
      </top>
      <bottom style="thin">
        <color theme="5"/>
      </bottom>
    </border>
    <border>
      <right style="thin">
        <color theme="5"/>
      </right>
      <top style="thin">
        <color theme="5"/>
      </top>
      <bottom style="thin">
        <color theme="5"/>
      </bottom>
    </border>
    <border>
      <right style="thin">
        <color rgb="FF800000"/>
      </right>
    </border>
    <border>
      <left style="thin">
        <color rgb="FF800000"/>
      </left>
      <right style="thin">
        <color rgb="FF800000"/>
      </right>
      <top style="thin">
        <color rgb="FF800000"/>
      </top>
      <bottom/>
    </border>
    <border>
      <top style="thin">
        <color rgb="FF800000"/>
      </top>
    </border>
    <border>
      <right style="thin">
        <color rgb="FF800000"/>
      </right>
      <top style="thin">
        <color rgb="FF800000"/>
      </top>
    </border>
    <border>
      <left style="thin">
        <color rgb="FF800000"/>
      </left>
      <right style="thin">
        <color rgb="FF800000"/>
      </right>
      <top style="thin">
        <color theme="0"/>
      </top>
      <bottom/>
    </border>
    <border>
      <left style="thin">
        <color rgb="FF800000"/>
      </left>
      <right/>
      <top style="thin">
        <color theme="0"/>
      </top>
      <bottom/>
    </border>
    <border>
      <left style="thin">
        <color rgb="FF800000"/>
      </left>
      <top style="thin">
        <color rgb="FF800000"/>
      </top>
      <bottom style="thin">
        <color rgb="FF800000"/>
      </bottom>
    </border>
    <border>
      <right style="thin">
        <color rgb="FF800000"/>
      </right>
      <top style="thin">
        <color rgb="FF800000"/>
      </top>
      <bottom style="thin">
        <color rgb="FF800000"/>
      </bottom>
    </border>
    <border>
      <left style="thin">
        <color rgb="FFC60606"/>
      </left>
      <right/>
      <top style="thin">
        <color rgb="FFC60606"/>
      </top>
      <bottom/>
    </border>
    <border>
      <left style="thin">
        <color rgb="FFC00000"/>
      </left>
      <top style="thin">
        <color rgb="FFC00000"/>
      </top>
      <bottom style="thin">
        <color rgb="FFC00000"/>
      </bottom>
    </border>
    <border>
      <right style="thin">
        <color rgb="FFC00000"/>
      </right>
      <top style="thin">
        <color rgb="FFC00000"/>
      </top>
      <bottom style="thin">
        <color rgb="FFC00000"/>
      </bottom>
    </border>
    <border>
      <left style="thin">
        <color rgb="FF000000"/>
      </left>
      <top style="thin">
        <color rgb="FF000000"/>
      </top>
      <bottom style="thin">
        <color rgb="FF757070"/>
      </bottom>
    </border>
    <border>
      <left style="thin">
        <color rgb="FF000000"/>
      </left>
      <right style="thin">
        <color rgb="FF000000"/>
      </right>
      <top style="thin">
        <color rgb="FF000000"/>
      </top>
      <bottom style="thin">
        <color rgb="FF757070"/>
      </bottom>
    </border>
    <border>
      <right style="thin">
        <color rgb="FF000000"/>
      </right>
      <top style="thin">
        <color rgb="FF000000"/>
      </top>
      <bottom style="thin">
        <color rgb="FF757070"/>
      </bottom>
    </border>
    <border>
      <right style="thin">
        <color rgb="FFC60606"/>
      </right>
    </border>
    <border>
      <left style="thin">
        <color rgb="FFC60606"/>
      </left>
      <right/>
      <top style="thin">
        <color theme="0"/>
      </top>
      <bottom/>
    </border>
    <border>
      <left style="thin">
        <color rgb="FF000000"/>
      </left>
      <top style="thin">
        <color rgb="FF757070"/>
      </top>
    </border>
    <border>
      <left style="thin">
        <color rgb="FF000000"/>
      </left>
      <right style="thin">
        <color rgb="FF000000"/>
      </right>
      <top style="thin">
        <color rgb="FF757070"/>
      </top>
      <bottom style="thin">
        <color rgb="FF000000"/>
      </bottom>
    </border>
    <border>
      <left style="thin">
        <color rgb="FFC60606"/>
      </left>
      <right/>
      <top style="thin">
        <color theme="0"/>
      </top>
      <bottom style="thin">
        <color theme="0"/>
      </bottom>
    </border>
    <border>
      <left style="thin">
        <color rgb="FFC60606"/>
      </left>
      <right/>
      <top/>
      <bottom style="thin">
        <color theme="0"/>
      </bottom>
    </border>
    <border>
      <left style="thin">
        <color rgb="FF000000"/>
      </left>
      <right style="thin">
        <color rgb="FF000000"/>
      </right>
    </border>
    <border>
      <left style="thin">
        <color rgb="FFC60606"/>
      </left>
      <right/>
      <top/>
      <bottom style="thin">
        <color rgb="FFC60606"/>
      </bottom>
    </border>
    <border>
      <left style="thin">
        <color rgb="FFC60606"/>
      </left>
      <right/>
      <top style="thin">
        <color theme="0"/>
      </top>
      <bottom style="thin">
        <color rgb="FFC60606"/>
      </bottom>
    </border>
    <border>
      <left style="thin">
        <color rgb="FF2E75B5"/>
      </left>
      <top style="thin">
        <color rgb="FF2E75B5"/>
      </top>
      <bottom/>
    </border>
    <border>
      <top style="thin">
        <color rgb="FF2E75B5"/>
      </top>
      <bottom/>
    </border>
    <border>
      <left style="thin">
        <color rgb="FF2E75B5"/>
      </left>
    </border>
    <border>
      <top style="thin">
        <color rgb="FF2E75B5"/>
      </top>
      <bottom style="thin">
        <color rgb="FF2E75B5"/>
      </bottom>
    </border>
    <border>
      <left style="thin">
        <color rgb="FF2E75B5"/>
      </left>
      <right style="thin">
        <color rgb="FF2E75B5"/>
      </right>
      <top style="thin">
        <color rgb="FF2E75B5"/>
      </top>
      <bottom style="thin">
        <color rgb="FF2E75B5"/>
      </bottom>
    </border>
    <border>
      <left style="thin">
        <color rgb="FF2E75B5"/>
      </left>
      <top style="thin">
        <color rgb="FF2E75B5"/>
      </top>
      <bottom style="thin">
        <color rgb="FF2E75B5"/>
      </bottom>
    </border>
    <border>
      <right style="thin">
        <color rgb="FF2E75B5"/>
      </right>
      <top style="thin">
        <color rgb="FF2E75B5"/>
      </top>
      <bottom style="thin">
        <color rgb="FF2E75B5"/>
      </bottom>
    </border>
    <border>
      <left style="thin">
        <color rgb="FF2E75B5"/>
      </left>
      <top style="thin">
        <color rgb="FF2E75B5"/>
      </top>
    </border>
    <border>
      <right style="thin">
        <color rgb="FF2E75B5"/>
      </right>
      <top style="thin">
        <color rgb="FF2E75B5"/>
      </top>
    </border>
    <border>
      <left style="thin">
        <color rgb="FF2E75B5"/>
      </left>
      <right style="thin">
        <color rgb="FF2E75B5"/>
      </right>
      <top/>
      <bottom style="thin">
        <color rgb="FF2E75B5"/>
      </bottom>
    </border>
    <border>
      <left/>
      <right style="thin">
        <color rgb="FF2E75B5"/>
      </right>
      <top/>
      <bottom/>
    </border>
    <border>
      <left style="thin">
        <color rgb="FF2E75B5"/>
      </left>
      <right style="thin">
        <color rgb="FF2E75B5"/>
      </right>
      <top style="thin">
        <color rgb="FF2E75B5"/>
      </top>
      <bottom/>
    </border>
    <border>
      <left style="thin">
        <color rgb="FF2E75B5"/>
      </left>
      <top style="thin">
        <color rgb="FF0070C0"/>
      </top>
      <bottom style="thin">
        <color rgb="FF2E75B5"/>
      </bottom>
    </border>
    <border>
      <right style="thin">
        <color rgb="FF2E75B5"/>
      </right>
      <top style="thin">
        <color rgb="FF0070C0"/>
      </top>
      <bottom style="thin">
        <color rgb="FF2E75B5"/>
      </bottom>
    </border>
    <border>
      <right style="thin">
        <color rgb="FF2E75B5"/>
      </right>
    </border>
    <border>
      <left style="thin">
        <color rgb="FF2E75B5"/>
      </left>
      <right style="thin">
        <color rgb="FF2E75B5"/>
      </right>
      <top/>
      <bottom/>
    </border>
    <border>
      <left style="thin">
        <color rgb="FF757070"/>
      </left>
      <top style="thin">
        <color rgb="FF757070"/>
      </top>
    </border>
    <border>
      <left style="thin">
        <color theme="8"/>
      </left>
      <right style="thin">
        <color theme="8"/>
      </right>
      <top style="thin">
        <color theme="8"/>
      </top>
      <bottom style="thin">
        <color theme="8"/>
      </bottom>
    </border>
    <border>
      <left style="thin">
        <color theme="8"/>
      </left>
      <top style="thin">
        <color theme="8"/>
      </top>
      <bottom style="thin">
        <color theme="8"/>
      </bottom>
    </border>
    <border>
      <right style="thin">
        <color theme="8"/>
      </right>
      <top style="thin">
        <color theme="8"/>
      </top>
      <bottom style="thin">
        <color theme="8"/>
      </bottom>
    </border>
    <border>
      <left style="thin">
        <color rgb="FF000000"/>
      </left>
      <top style="thin">
        <color rgb="FF000000"/>
      </top>
      <bottom style="thin">
        <color rgb="FF2E75B5"/>
      </bottom>
    </border>
    <border>
      <right style="thin">
        <color rgb="FF2E75B5"/>
      </right>
      <top style="thin">
        <color rgb="FF000000"/>
      </top>
      <bottom style="thin">
        <color rgb="FF2E75B5"/>
      </bottom>
    </border>
    <border>
      <right style="thin">
        <color rgb="FF2E75B5"/>
      </right>
      <top style="thin">
        <color rgb="FF000000"/>
      </top>
      <bottom style="thin">
        <color rgb="FF000000"/>
      </bottom>
    </border>
    <border>
      <right style="thin">
        <color rgb="FF2E75B5"/>
      </right>
      <top style="thin">
        <color rgb="FF000000"/>
      </top>
    </border>
    <border>
      <left style="thin">
        <color rgb="FF000000"/>
      </left>
      <right style="thin">
        <color rgb="FF000000"/>
      </right>
      <top style="thin">
        <color rgb="FF000000"/>
      </top>
      <bottom/>
    </border>
  </borders>
  <cellStyleXfs count="1">
    <xf borderId="0" fillId="0" fontId="0" numFmtId="0" applyAlignment="1" applyFont="1"/>
  </cellStyleXfs>
  <cellXfs count="366">
    <xf borderId="0" fillId="0" fontId="0" numFmtId="0" xfId="0" applyAlignment="1" applyFont="1">
      <alignment readingOrder="0" shrinkToFit="0" vertical="bottom" wrapText="0"/>
    </xf>
    <xf borderId="0" fillId="2" fontId="1" numFmtId="0" xfId="0" applyAlignment="1" applyFill="1" applyFont="1">
      <alignment shrinkToFit="0" wrapText="1"/>
    </xf>
    <xf borderId="0" fillId="0" fontId="2" numFmtId="0" xfId="0" applyAlignment="1" applyFont="1">
      <alignment shrinkToFit="0" wrapText="1"/>
    </xf>
    <xf borderId="0" fillId="0" fontId="2" numFmtId="0" xfId="0" applyAlignment="1" applyFont="1">
      <alignment shrinkToFit="0" wrapText="1"/>
    </xf>
    <xf borderId="0" fillId="3" fontId="2" numFmtId="0" xfId="0" applyAlignment="1" applyFill="1" applyFont="1">
      <alignment shrinkToFit="0" wrapText="1"/>
    </xf>
    <xf borderId="0" fillId="3" fontId="3" numFmtId="0" xfId="0" applyAlignment="1" applyFont="1">
      <alignment shrinkToFit="0" wrapText="1"/>
    </xf>
    <xf borderId="0" fillId="0" fontId="4" numFmtId="0" xfId="0" applyAlignment="1" applyFont="1">
      <alignment horizontal="center" vertical="center"/>
    </xf>
    <xf borderId="0" fillId="4" fontId="2" numFmtId="0" xfId="0" applyAlignment="1" applyFill="1" applyFont="1">
      <alignment shrinkToFit="0" wrapText="1"/>
    </xf>
    <xf borderId="0" fillId="4" fontId="5" numFmtId="0" xfId="0" applyAlignment="1" applyFont="1">
      <alignment shrinkToFit="0" wrapText="1"/>
    </xf>
    <xf borderId="0" fillId="0" fontId="2" numFmtId="0" xfId="0" applyAlignment="1" applyFont="1">
      <alignment horizontal="left" shrinkToFit="0" wrapText="1"/>
    </xf>
    <xf borderId="1" fillId="5" fontId="6" numFmtId="0" xfId="0" applyAlignment="1" applyBorder="1" applyFill="1" applyFont="1">
      <alignment horizontal="center" vertical="center"/>
    </xf>
    <xf borderId="2" fillId="0" fontId="7" numFmtId="0" xfId="0" applyBorder="1" applyFont="1"/>
    <xf borderId="3" fillId="6" fontId="6" numFmtId="0" xfId="0" applyAlignment="1" applyBorder="1" applyFill="1" applyFont="1">
      <alignment horizontal="center" vertical="center"/>
    </xf>
    <xf borderId="3" fillId="0" fontId="8" numFmtId="0" xfId="0" applyAlignment="1" applyBorder="1" applyFont="1">
      <alignment horizontal="center" readingOrder="0" vertical="center"/>
    </xf>
    <xf borderId="3" fillId="0" fontId="6" numFmtId="0" xfId="0" applyAlignment="1" applyBorder="1" applyFont="1">
      <alignment horizontal="center" vertical="center"/>
    </xf>
    <xf borderId="3" fillId="0" fontId="8" numFmtId="0" xfId="0" applyAlignment="1" applyBorder="1" applyFont="1">
      <alignment horizontal="center" vertical="center"/>
    </xf>
    <xf borderId="3" fillId="0" fontId="9" numFmtId="0" xfId="0" applyAlignment="1" applyBorder="1" applyFont="1">
      <alignment horizontal="center" vertical="center"/>
    </xf>
    <xf borderId="4" fillId="5" fontId="6" numFmtId="0" xfId="0" applyAlignment="1" applyBorder="1" applyFont="1">
      <alignment horizontal="center" vertical="center"/>
    </xf>
    <xf borderId="3" fillId="0" fontId="10" numFmtId="0" xfId="0" applyAlignment="1" applyBorder="1" applyFont="1">
      <alignment horizontal="center" vertical="center"/>
    </xf>
    <xf borderId="5" fillId="0" fontId="7" numFmtId="0" xfId="0" applyBorder="1" applyFont="1"/>
    <xf borderId="4" fillId="0" fontId="6" numFmtId="0" xfId="0" applyAlignment="1" applyBorder="1" applyFont="1">
      <alignment horizontal="center" vertical="center"/>
    </xf>
    <xf borderId="0" fillId="0" fontId="11" numFmtId="0" xfId="0" applyFont="1"/>
    <xf borderId="3" fillId="7" fontId="12" numFmtId="0" xfId="0" applyAlignment="1" applyBorder="1" applyFill="1" applyFont="1">
      <alignment horizontal="center" shrinkToFit="0" vertical="center" wrapText="1"/>
    </xf>
    <xf borderId="3" fillId="0" fontId="12" numFmtId="0" xfId="0" applyAlignment="1" applyBorder="1" applyFont="1">
      <alignment shrinkToFit="0" vertical="top" wrapText="1"/>
    </xf>
    <xf borderId="3" fillId="0" fontId="12" numFmtId="0" xfId="0" applyAlignment="1" applyBorder="1" applyFont="1">
      <alignment horizontal="center" shrinkToFit="0" vertical="center" wrapText="1"/>
    </xf>
    <xf borderId="3" fillId="0" fontId="12" numFmtId="10" xfId="0" applyAlignment="1" applyBorder="1" applyFont="1" applyNumberFormat="1">
      <alignment horizontal="center" shrinkToFit="0" vertical="center" wrapText="1"/>
    </xf>
    <xf borderId="6" fillId="8" fontId="13" numFmtId="0" xfId="0" applyAlignment="1" applyBorder="1" applyFill="1" applyFont="1">
      <alignment horizontal="center" vertical="center"/>
    </xf>
    <xf borderId="7" fillId="0" fontId="7" numFmtId="0" xfId="0" applyBorder="1" applyFont="1"/>
    <xf borderId="8" fillId="9" fontId="14" numFmtId="0" xfId="0" applyAlignment="1" applyBorder="1" applyFill="1" applyFont="1">
      <alignment horizontal="center" vertical="center"/>
    </xf>
    <xf borderId="9" fillId="0" fontId="7" numFmtId="0" xfId="0" applyBorder="1" applyFont="1"/>
    <xf borderId="10" fillId="0" fontId="2" numFmtId="0" xfId="0" applyBorder="1" applyFont="1"/>
    <xf borderId="3" fillId="0" fontId="2" numFmtId="0" xfId="0" applyBorder="1" applyFont="1"/>
    <xf borderId="3" fillId="0" fontId="2" numFmtId="0" xfId="0" applyAlignment="1" applyBorder="1" applyFont="1">
      <alignment horizontal="center"/>
    </xf>
    <xf borderId="0" fillId="0" fontId="15" numFmtId="0" xfId="0" applyFont="1"/>
    <xf borderId="0" fillId="0" fontId="6" numFmtId="0" xfId="0" applyFont="1"/>
    <xf borderId="3" fillId="0" fontId="2" numFmtId="9" xfId="0" applyAlignment="1" applyBorder="1" applyFont="1" applyNumberFormat="1">
      <alignment horizontal="center"/>
    </xf>
    <xf borderId="0" fillId="0" fontId="15" numFmtId="0" xfId="0" applyAlignment="1" applyFont="1">
      <alignment horizontal="center"/>
    </xf>
    <xf borderId="11" fillId="10" fontId="16" numFmtId="0" xfId="0" applyAlignment="1" applyBorder="1" applyFill="1" applyFont="1">
      <alignment horizontal="center" vertical="center"/>
    </xf>
    <xf borderId="12" fillId="0" fontId="7" numFmtId="0" xfId="0" applyBorder="1" applyFont="1"/>
    <xf borderId="13" fillId="0" fontId="7" numFmtId="0" xfId="0" applyBorder="1" applyFont="1"/>
    <xf borderId="14" fillId="10" fontId="16" numFmtId="0" xfId="0" applyAlignment="1" applyBorder="1" applyFont="1">
      <alignment horizontal="center" vertical="center"/>
    </xf>
    <xf borderId="8" fillId="11" fontId="14" numFmtId="0" xfId="0" applyAlignment="1" applyBorder="1" applyFill="1" applyFont="1">
      <alignment horizontal="center" vertical="center"/>
    </xf>
    <xf borderId="15" fillId="0" fontId="7" numFmtId="0" xfId="0" applyBorder="1" applyFont="1"/>
    <xf borderId="0" fillId="0" fontId="16" numFmtId="0" xfId="0" applyFont="1"/>
    <xf borderId="16" fillId="10" fontId="16" numFmtId="0" xfId="0" applyAlignment="1" applyBorder="1" applyFont="1">
      <alignment horizontal="center" vertical="center"/>
    </xf>
    <xf borderId="17" fillId="10" fontId="16" numFmtId="0" xfId="0" applyAlignment="1" applyBorder="1" applyFont="1">
      <alignment horizontal="center" vertical="center"/>
    </xf>
    <xf borderId="18" fillId="0" fontId="7" numFmtId="0" xfId="0" applyBorder="1" applyFont="1"/>
    <xf borderId="0" fillId="0" fontId="17" numFmtId="0" xfId="0" applyAlignment="1" applyFont="1">
      <alignment shrinkToFit="0" wrapText="1"/>
    </xf>
    <xf borderId="19" fillId="0" fontId="2" numFmtId="0" xfId="0" applyBorder="1" applyFont="1"/>
    <xf borderId="20" fillId="0" fontId="2" numFmtId="0" xfId="0" applyBorder="1" applyFont="1"/>
    <xf borderId="21" fillId="0" fontId="7" numFmtId="0" xfId="0" applyBorder="1" applyFont="1"/>
    <xf borderId="22" fillId="0" fontId="2" numFmtId="0" xfId="0" applyBorder="1" applyFont="1"/>
    <xf borderId="23" fillId="11" fontId="18" numFmtId="0" xfId="0" applyAlignment="1" applyBorder="1" applyFont="1">
      <alignment horizontal="center" shrinkToFit="0" vertical="center" wrapText="1"/>
    </xf>
    <xf borderId="1" fillId="0" fontId="19" numFmtId="0" xfId="0" applyAlignment="1" applyBorder="1" applyFont="1">
      <alignment readingOrder="0" shrinkToFit="0" vertical="center" wrapText="1"/>
    </xf>
    <xf borderId="0" fillId="0" fontId="20" numFmtId="0" xfId="0" applyAlignment="1" applyFont="1">
      <alignment shrinkToFit="0" vertical="center" wrapText="1"/>
    </xf>
    <xf borderId="3" fillId="0" fontId="2" numFmtId="0" xfId="0" applyAlignment="1" applyBorder="1" applyFont="1">
      <alignment horizontal="center" vertical="center"/>
    </xf>
    <xf borderId="1" fillId="0" fontId="19" numFmtId="0" xfId="0" applyAlignment="1" applyBorder="1" applyFont="1">
      <alignment shrinkToFit="0" vertical="center" wrapText="1"/>
    </xf>
    <xf borderId="1" fillId="0" fontId="19" numFmtId="0" xfId="0" applyAlignment="1" applyBorder="1" applyFont="1">
      <alignment shrinkToFit="0" wrapText="1"/>
    </xf>
    <xf borderId="1" fillId="0" fontId="19" numFmtId="0" xfId="0" applyAlignment="1" applyBorder="1" applyFont="1">
      <alignment horizontal="left" shrinkToFit="0" wrapText="1"/>
    </xf>
    <xf borderId="1" fillId="0" fontId="21" numFmtId="0" xfId="0" applyAlignment="1" applyBorder="1" applyFont="1">
      <alignment horizontal="left" shrinkToFit="0" wrapText="1"/>
    </xf>
    <xf borderId="24" fillId="0" fontId="21" numFmtId="0" xfId="0" applyAlignment="1" applyBorder="1" applyFont="1">
      <alignment horizontal="left" shrinkToFit="0" wrapText="1"/>
    </xf>
    <xf borderId="25" fillId="0" fontId="7" numFmtId="0" xfId="0" applyBorder="1" applyFont="1"/>
    <xf borderId="1" fillId="0" fontId="21" numFmtId="0" xfId="0" applyAlignment="1" applyBorder="1" applyFont="1">
      <alignment shrinkToFit="0" wrapText="1"/>
    </xf>
    <xf borderId="26" fillId="0" fontId="21" numFmtId="0" xfId="0" applyAlignment="1" applyBorder="1" applyFont="1">
      <alignment horizontal="left" shrinkToFit="0" wrapText="1"/>
    </xf>
    <xf borderId="27" fillId="0" fontId="7" numFmtId="0" xfId="0" applyBorder="1" applyFont="1"/>
    <xf borderId="0" fillId="0" fontId="19" numFmtId="0" xfId="0" applyAlignment="1" applyFont="1">
      <alignment shrinkToFit="0" vertical="center" wrapText="1"/>
    </xf>
    <xf borderId="0" fillId="0" fontId="15" numFmtId="0" xfId="0" applyAlignment="1" applyFont="1">
      <alignment horizontal="left"/>
    </xf>
    <xf borderId="0" fillId="0" fontId="16" numFmtId="0" xfId="0" applyAlignment="1" applyFont="1">
      <alignment horizontal="center" vertical="center"/>
    </xf>
    <xf borderId="28" fillId="0" fontId="2" numFmtId="0" xfId="0" applyBorder="1" applyFont="1"/>
    <xf borderId="23" fillId="11" fontId="18" numFmtId="0" xfId="0" applyAlignment="1" applyBorder="1" applyFont="1">
      <alignment horizontal="center" vertical="center"/>
    </xf>
    <xf borderId="1" fillId="0" fontId="19" numFmtId="0" xfId="0" applyAlignment="1" applyBorder="1" applyFont="1">
      <alignment horizontal="left" vertical="center"/>
    </xf>
    <xf borderId="29" fillId="4" fontId="19" numFmtId="0" xfId="0" applyAlignment="1" applyBorder="1" applyFont="1">
      <alignment shrinkToFit="0" vertical="center" wrapText="1"/>
    </xf>
    <xf borderId="30" fillId="0" fontId="7" numFmtId="0" xfId="0" applyBorder="1" applyFont="1"/>
    <xf borderId="1" fillId="0" fontId="19" numFmtId="0" xfId="0" applyAlignment="1" applyBorder="1" applyFont="1">
      <alignment horizontal="left"/>
    </xf>
    <xf borderId="3" fillId="0" fontId="2" numFmtId="0" xfId="0" applyAlignment="1" applyBorder="1" applyFont="1">
      <alignment vertical="center"/>
    </xf>
    <xf borderId="31" fillId="0" fontId="19" numFmtId="0" xfId="0" applyAlignment="1" applyBorder="1" applyFont="1">
      <alignment horizontal="left"/>
    </xf>
    <xf borderId="32" fillId="0" fontId="7" numFmtId="0" xfId="0" applyBorder="1" applyFont="1"/>
    <xf borderId="4" fillId="0" fontId="2" numFmtId="0" xfId="0" applyAlignment="1" applyBorder="1" applyFont="1">
      <alignment horizontal="center" vertical="center"/>
    </xf>
    <xf borderId="4" fillId="0" fontId="2" numFmtId="0" xfId="0" applyAlignment="1" applyBorder="1" applyFont="1">
      <alignment vertical="center"/>
    </xf>
    <xf borderId="1" fillId="0" fontId="21" numFmtId="0" xfId="0" applyAlignment="1" applyBorder="1" applyFont="1">
      <alignment horizontal="left"/>
    </xf>
    <xf borderId="8" fillId="12" fontId="22" numFmtId="0" xfId="0" applyAlignment="1" applyBorder="1" applyFill="1" applyFont="1">
      <alignment horizontal="center" vertical="center"/>
    </xf>
    <xf borderId="23" fillId="12" fontId="21" numFmtId="0" xfId="0" applyAlignment="1" applyBorder="1" applyFont="1">
      <alignment horizontal="center" vertical="center"/>
    </xf>
    <xf borderId="3" fillId="0" fontId="2" numFmtId="0" xfId="0" applyAlignment="1" applyBorder="1" applyFont="1">
      <alignment readingOrder="0"/>
    </xf>
    <xf borderId="1" fillId="0" fontId="19" numFmtId="0" xfId="0" applyAlignment="1" applyBorder="1" applyFont="1">
      <alignment vertical="center"/>
    </xf>
    <xf borderId="0" fillId="0" fontId="2" numFmtId="0" xfId="0" applyAlignment="1" applyFont="1">
      <alignment horizontal="center" vertical="center"/>
    </xf>
    <xf borderId="10" fillId="0" fontId="2" numFmtId="0" xfId="0" applyAlignment="1" applyBorder="1" applyFont="1">
      <alignment horizontal="center" vertical="center"/>
    </xf>
    <xf borderId="0" fillId="0" fontId="15" numFmtId="0" xfId="0" applyAlignment="1" applyFont="1">
      <alignment horizontal="center" vertical="center"/>
    </xf>
    <xf borderId="0" fillId="0" fontId="6" numFmtId="0" xfId="0" applyAlignment="1" applyFont="1">
      <alignment horizontal="center" vertical="center"/>
    </xf>
    <xf borderId="3" fillId="0" fontId="2" numFmtId="9" xfId="0" applyAlignment="1" applyBorder="1" applyFont="1" applyNumberFormat="1">
      <alignment horizontal="center" vertical="center"/>
    </xf>
    <xf borderId="0" fillId="0" fontId="2" numFmtId="0" xfId="0" applyAlignment="1" applyFont="1">
      <alignment horizontal="center" shrinkToFit="0" vertical="center" wrapText="1"/>
    </xf>
    <xf borderId="11" fillId="10" fontId="16" numFmtId="0" xfId="0" applyAlignment="1" applyBorder="1" applyFont="1">
      <alignment horizontal="center" shrinkToFit="0" vertical="center" wrapText="1"/>
    </xf>
    <xf borderId="14" fillId="10" fontId="16" numFmtId="0" xfId="0" applyAlignment="1" applyBorder="1" applyFont="1">
      <alignment horizontal="center" shrinkToFit="0" vertical="center" wrapText="1"/>
    </xf>
    <xf borderId="8" fillId="12" fontId="22" numFmtId="0" xfId="0" applyAlignment="1" applyBorder="1" applyFont="1">
      <alignment horizontal="center" shrinkToFit="0" vertical="center" wrapText="1"/>
    </xf>
    <xf borderId="0" fillId="0" fontId="16" numFmtId="0" xfId="0" applyAlignment="1" applyFont="1">
      <alignment horizontal="center" shrinkToFit="0" vertical="center" wrapText="1"/>
    </xf>
    <xf borderId="16" fillId="10" fontId="16" numFmtId="0" xfId="0" applyAlignment="1" applyBorder="1" applyFont="1">
      <alignment horizontal="center" shrinkToFit="0" vertical="center" wrapText="1"/>
    </xf>
    <xf borderId="17" fillId="10" fontId="16" numFmtId="0" xfId="0" applyAlignment="1" applyBorder="1" applyFont="1">
      <alignment horizontal="center" shrinkToFit="0" vertical="center" wrapText="1"/>
    </xf>
    <xf borderId="19" fillId="0" fontId="2" numFmtId="0" xfId="0" applyAlignment="1" applyBorder="1" applyFont="1">
      <alignment horizontal="center" shrinkToFit="0" vertical="center" wrapText="1"/>
    </xf>
    <xf borderId="20" fillId="0" fontId="2" numFmtId="0" xfId="0" applyAlignment="1" applyBorder="1" applyFont="1">
      <alignment horizontal="center" shrinkToFit="0" vertical="center" wrapText="1"/>
    </xf>
    <xf borderId="22" fillId="0" fontId="2" numFmtId="0" xfId="0" applyAlignment="1" applyBorder="1" applyFont="1">
      <alignment horizontal="center" shrinkToFit="0" vertical="center" wrapText="1"/>
    </xf>
    <xf borderId="28" fillId="0" fontId="2" numFmtId="0" xfId="0" applyAlignment="1" applyBorder="1" applyFont="1">
      <alignment horizontal="center" vertical="center"/>
    </xf>
    <xf borderId="33" fillId="12" fontId="22" numFmtId="0" xfId="0" applyAlignment="1" applyBorder="1" applyFont="1">
      <alignment horizontal="center" shrinkToFit="0" vertical="center" wrapText="1"/>
    </xf>
    <xf borderId="1" fillId="0" fontId="19" numFmtId="0" xfId="0" applyAlignment="1" applyBorder="1" applyFont="1">
      <alignment horizontal="center" shrinkToFit="0" vertical="center" wrapText="1"/>
    </xf>
    <xf borderId="0" fillId="0" fontId="20" numFmtId="0" xfId="0" applyAlignment="1" applyFont="1">
      <alignment horizontal="center" shrinkToFit="0" vertical="center" wrapText="1"/>
    </xf>
    <xf borderId="3" fillId="0" fontId="2" numFmtId="0" xfId="0" applyAlignment="1" applyBorder="1" applyFont="1">
      <alignment horizontal="center" shrinkToFit="0" vertical="center" wrapText="1"/>
    </xf>
    <xf borderId="29" fillId="4" fontId="19" numFmtId="0" xfId="0" applyAlignment="1" applyBorder="1" applyFont="1">
      <alignment horizontal="center" shrinkToFit="0" vertical="center" wrapText="1"/>
    </xf>
    <xf borderId="31" fillId="0" fontId="19" numFmtId="0" xfId="0" applyAlignment="1" applyBorder="1" applyFont="1">
      <alignment horizontal="center" shrinkToFit="0" vertical="center" wrapText="1"/>
    </xf>
    <xf borderId="1" fillId="0" fontId="21"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6" fillId="8" fontId="13" numFmtId="0" xfId="0" applyAlignment="1" applyBorder="1" applyFont="1">
      <alignment horizontal="center" shrinkToFit="0" vertical="center" wrapText="1"/>
    </xf>
    <xf borderId="8" fillId="13" fontId="14" numFmtId="0" xfId="0" applyAlignment="1" applyBorder="1" applyFill="1" applyFont="1">
      <alignment horizontal="center" shrinkToFit="0" vertical="center" wrapText="1"/>
    </xf>
    <xf borderId="3" fillId="0" fontId="2" numFmtId="0" xfId="0" applyAlignment="1" applyBorder="1" applyFont="1">
      <alignment shrinkToFit="0" wrapText="1"/>
    </xf>
    <xf borderId="3" fillId="0" fontId="2" numFmtId="0" xfId="0" applyAlignment="1" applyBorder="1" applyFont="1">
      <alignment horizontal="center" shrinkToFit="0" wrapText="1"/>
    </xf>
    <xf borderId="0" fillId="0" fontId="15" numFmtId="0" xfId="0" applyAlignment="1" applyFont="1">
      <alignment shrinkToFit="0" wrapText="1"/>
    </xf>
    <xf borderId="0" fillId="0" fontId="6" numFmtId="0" xfId="0" applyAlignment="1" applyFont="1">
      <alignment shrinkToFit="0" wrapText="1"/>
    </xf>
    <xf borderId="3" fillId="0" fontId="2" numFmtId="9" xfId="0" applyAlignment="1" applyBorder="1" applyFont="1" applyNumberFormat="1">
      <alignment horizontal="center" shrinkToFit="0" wrapText="1"/>
    </xf>
    <xf borderId="0" fillId="0" fontId="15" numFmtId="0" xfId="0" applyAlignment="1" applyFont="1">
      <alignment horizontal="left" shrinkToFit="0" wrapText="1"/>
    </xf>
    <xf borderId="0" fillId="0" fontId="23" numFmtId="0" xfId="0" applyAlignment="1" applyFont="1">
      <alignment horizontal="center" shrinkToFit="0" wrapText="1"/>
    </xf>
    <xf borderId="34" fillId="13" fontId="14" numFmtId="0" xfId="0" applyAlignment="1" applyBorder="1" applyFont="1">
      <alignment horizontal="center" shrinkToFit="0" vertical="center" wrapText="1"/>
    </xf>
    <xf borderId="0" fillId="0" fontId="16" numFmtId="0" xfId="0" applyAlignment="1" applyFont="1">
      <alignment shrinkToFit="0" wrapText="1"/>
    </xf>
    <xf borderId="35" fillId="0" fontId="2" numFmtId="0" xfId="0" applyAlignment="1" applyBorder="1" applyFont="1">
      <alignment shrinkToFit="0" wrapText="1"/>
    </xf>
    <xf borderId="36" fillId="0" fontId="7" numFmtId="0" xfId="0" applyBorder="1" applyFont="1"/>
    <xf borderId="12" fillId="0" fontId="2" numFmtId="0" xfId="0" applyAlignment="1" applyBorder="1" applyFont="1">
      <alignment shrinkToFit="0" wrapText="1"/>
    </xf>
    <xf borderId="37" fillId="13" fontId="18" numFmtId="0" xfId="0" applyAlignment="1" applyBorder="1" applyFont="1">
      <alignment horizontal="center" shrinkToFit="0" vertical="center" wrapText="1"/>
    </xf>
    <xf borderId="1" fillId="0" fontId="20" numFmtId="0" xfId="0" applyAlignment="1" applyBorder="1" applyFont="1">
      <alignment horizontal="left" readingOrder="0" shrinkToFit="0" vertical="center" wrapText="1"/>
    </xf>
    <xf borderId="16" fillId="0" fontId="2" numFmtId="0" xfId="0" applyAlignment="1" applyBorder="1" applyFont="1">
      <alignment shrinkToFit="0" wrapText="1"/>
    </xf>
    <xf borderId="16" fillId="0" fontId="2" numFmtId="0" xfId="0" applyAlignment="1" applyBorder="1" applyFont="1">
      <alignment horizontal="center" shrinkToFit="0" vertical="center" wrapText="1"/>
    </xf>
    <xf borderId="13" fillId="0" fontId="2" numFmtId="0" xfId="0" applyAlignment="1" applyBorder="1" applyFont="1">
      <alignment shrinkToFit="0" wrapText="1"/>
    </xf>
    <xf borderId="38" fillId="13" fontId="18" numFmtId="0" xfId="0" applyAlignment="1" applyBorder="1" applyFont="1">
      <alignment horizontal="center" shrinkToFit="0" vertical="center" wrapText="1"/>
    </xf>
    <xf borderId="1" fillId="0" fontId="20" numFmtId="0" xfId="0" applyAlignment="1" applyBorder="1" applyFont="1">
      <alignment horizontal="left" shrinkToFit="0" vertical="center" wrapText="1"/>
    </xf>
    <xf borderId="39" fillId="13" fontId="18" numFmtId="0" xfId="0" applyAlignment="1" applyBorder="1" applyFont="1">
      <alignment horizontal="center" shrinkToFit="0" vertical="center" wrapText="1"/>
    </xf>
    <xf borderId="14" fillId="0" fontId="2" numFmtId="0" xfId="0" applyAlignment="1" applyBorder="1" applyFont="1">
      <alignment shrinkToFit="0" wrapText="1"/>
    </xf>
    <xf borderId="40" fillId="0" fontId="2" numFmtId="0" xfId="0" applyAlignment="1" applyBorder="1" applyFont="1">
      <alignment shrinkToFit="0" wrapText="1"/>
    </xf>
    <xf borderId="3" fillId="0" fontId="2" numFmtId="0" xfId="0" applyAlignment="1" applyBorder="1" applyFont="1">
      <alignment readingOrder="0" shrinkToFit="0" wrapText="1"/>
    </xf>
    <xf borderId="16" fillId="0" fontId="2" numFmtId="0" xfId="0" applyAlignment="1" applyBorder="1" applyFont="1">
      <alignment readingOrder="0" shrinkToFit="0" wrapText="1"/>
    </xf>
    <xf borderId="0" fillId="0" fontId="24" numFmtId="0" xfId="0" applyAlignment="1" applyFont="1">
      <alignment shrinkToFit="0" wrapText="1"/>
    </xf>
    <xf borderId="41" fillId="0" fontId="2" numFmtId="0" xfId="0" applyAlignment="1" applyBorder="1" applyFont="1">
      <alignment shrinkToFit="0" wrapText="1"/>
    </xf>
    <xf borderId="41" fillId="0" fontId="2" numFmtId="0" xfId="0" applyAlignment="1" applyBorder="1" applyFont="1">
      <alignment horizontal="center" shrinkToFit="0" vertical="center" wrapText="1"/>
    </xf>
    <xf borderId="42" fillId="0" fontId="2" numFmtId="0" xfId="0" applyAlignment="1" applyBorder="1" applyFont="1">
      <alignment shrinkToFit="0" wrapText="1"/>
    </xf>
    <xf borderId="39" fillId="13" fontId="25" numFmtId="0" xfId="0" applyAlignment="1" applyBorder="1" applyFont="1">
      <alignment horizontal="center" readingOrder="0" shrinkToFit="0" vertical="center" wrapText="1"/>
    </xf>
    <xf borderId="41" fillId="0" fontId="2" numFmtId="0" xfId="0" applyAlignment="1" applyBorder="1" applyFont="1">
      <alignment readingOrder="0" shrinkToFit="0" wrapText="1"/>
    </xf>
    <xf borderId="43" fillId="13" fontId="25" numFmtId="0" xfId="0" applyAlignment="1" applyBorder="1" applyFont="1">
      <alignment horizontal="center" readingOrder="0" shrinkToFit="0" vertical="center" wrapText="1"/>
    </xf>
    <xf borderId="43" fillId="13" fontId="18" numFmtId="0" xfId="0" applyAlignment="1" applyBorder="1" applyFont="1">
      <alignment horizontal="center" shrinkToFit="0" vertical="center" wrapText="1"/>
    </xf>
    <xf borderId="8" fillId="13" fontId="14" numFmtId="0" xfId="0" applyAlignment="1" applyBorder="1" applyFont="1">
      <alignment horizontal="center" vertical="center"/>
    </xf>
    <xf borderId="3" fillId="0" fontId="2" numFmtId="10" xfId="0" applyAlignment="1" applyBorder="1" applyFont="1" applyNumberFormat="1">
      <alignment horizontal="center"/>
    </xf>
    <xf borderId="0" fillId="0" fontId="26" numFmtId="0" xfId="0" applyAlignment="1" applyFont="1">
      <alignment horizontal="center"/>
    </xf>
    <xf borderId="34" fillId="13" fontId="14" numFmtId="0" xfId="0" applyAlignment="1" applyBorder="1" applyFont="1">
      <alignment horizontal="center" vertical="center"/>
    </xf>
    <xf borderId="35" fillId="0" fontId="2" numFmtId="0" xfId="0" applyBorder="1" applyFont="1"/>
    <xf borderId="12" fillId="0" fontId="2" numFmtId="0" xfId="0" applyBorder="1" applyFont="1"/>
    <xf borderId="37" fillId="13" fontId="18" numFmtId="0" xfId="0" applyAlignment="1" applyBorder="1" applyFont="1">
      <alignment horizontal="center" vertical="center"/>
    </xf>
    <xf borderId="44" fillId="0" fontId="20" numFmtId="0" xfId="0" applyAlignment="1" applyBorder="1" applyFont="1">
      <alignment horizontal="left" shrinkToFit="0" vertical="center" wrapText="1"/>
    </xf>
    <xf borderId="45" fillId="0" fontId="7" numFmtId="0" xfId="0" applyBorder="1" applyFont="1"/>
    <xf borderId="16" fillId="0" fontId="2" numFmtId="0" xfId="0" applyBorder="1" applyFont="1"/>
    <xf borderId="16" fillId="0" fontId="2" numFmtId="0" xfId="0" applyAlignment="1" applyBorder="1" applyFont="1">
      <alignment horizontal="center" vertical="center"/>
    </xf>
    <xf borderId="13" fillId="0" fontId="2" numFmtId="0" xfId="0" applyBorder="1" applyFont="1"/>
    <xf borderId="38" fillId="13" fontId="18" numFmtId="0" xfId="0" applyAlignment="1" applyBorder="1" applyFont="1">
      <alignment horizontal="center" vertical="center"/>
    </xf>
    <xf borderId="46" fillId="0" fontId="20" numFmtId="0" xfId="0" applyAlignment="1" applyBorder="1" applyFont="1">
      <alignment shrinkToFit="0" vertical="center" wrapText="1"/>
    </xf>
    <xf borderId="47" fillId="0" fontId="7" numFmtId="0" xfId="0" applyBorder="1" applyFont="1"/>
    <xf borderId="46" fillId="0" fontId="20" numFmtId="0" xfId="0" applyAlignment="1" applyBorder="1" applyFont="1">
      <alignment horizontal="left" shrinkToFit="0" vertical="center" wrapText="1"/>
    </xf>
    <xf borderId="39" fillId="13" fontId="18" numFmtId="0" xfId="0" applyAlignment="1" applyBorder="1" applyFont="1">
      <alignment horizontal="center" vertical="center"/>
    </xf>
    <xf borderId="44" fillId="0" fontId="2" numFmtId="0" xfId="0" applyAlignment="1" applyBorder="1" applyFont="1">
      <alignment horizontal="left"/>
    </xf>
    <xf borderId="14" fillId="0" fontId="2" numFmtId="0" xfId="0" applyBorder="1" applyFont="1"/>
    <xf borderId="40" fillId="0" fontId="2" numFmtId="0" xfId="0" applyBorder="1" applyFont="1"/>
    <xf borderId="1" fillId="0" fontId="20" numFmtId="0" xfId="0" applyAlignment="1" applyBorder="1" applyFont="1">
      <alignment shrinkToFit="0" vertical="center" wrapText="1"/>
    </xf>
    <xf borderId="1" fillId="0" fontId="20" numFmtId="0" xfId="0" applyAlignment="1" applyBorder="1" applyFont="1">
      <alignment vertical="center"/>
    </xf>
    <xf borderId="29" fillId="4" fontId="20" numFmtId="0" xfId="0" applyAlignment="1" applyBorder="1" applyFont="1">
      <alignment shrinkToFit="0" vertical="center" wrapText="1"/>
    </xf>
    <xf borderId="1" fillId="0" fontId="20" numFmtId="0" xfId="0" applyAlignment="1" applyBorder="1" applyFont="1">
      <alignment horizontal="left" vertical="center"/>
    </xf>
    <xf borderId="26" fillId="0" fontId="20" numFmtId="0" xfId="0" applyAlignment="1" applyBorder="1" applyFont="1">
      <alignment horizontal="left" vertical="center"/>
    </xf>
    <xf borderId="41" fillId="0" fontId="2" numFmtId="0" xfId="0" applyBorder="1" applyFont="1"/>
    <xf borderId="41" fillId="0" fontId="2" numFmtId="0" xfId="0" applyAlignment="1" applyBorder="1" applyFont="1">
      <alignment horizontal="center" vertical="center"/>
    </xf>
    <xf borderId="42" fillId="0" fontId="2" numFmtId="0" xfId="0" applyBorder="1" applyFont="1"/>
    <xf borderId="0" fillId="0" fontId="20" numFmtId="0" xfId="0" applyAlignment="1" applyFont="1">
      <alignment vertical="center"/>
    </xf>
    <xf borderId="48" fillId="0" fontId="20" numFmtId="0" xfId="0" applyAlignment="1" applyBorder="1" applyFont="1">
      <alignment vertical="center"/>
    </xf>
    <xf borderId="8" fillId="14" fontId="14" numFmtId="0" xfId="0" applyAlignment="1" applyBorder="1" applyFill="1" applyFont="1">
      <alignment horizontal="center" vertical="center"/>
    </xf>
    <xf borderId="0" fillId="0" fontId="27" numFmtId="0" xfId="0" applyAlignment="1" applyFont="1">
      <alignment horizontal="left"/>
    </xf>
    <xf borderId="0" fillId="0" fontId="28" numFmtId="0" xfId="0" applyAlignment="1" applyFont="1">
      <alignment horizontal="left" vertical="center"/>
    </xf>
    <xf borderId="0" fillId="0" fontId="13" numFmtId="0" xfId="0" applyAlignment="1" applyFont="1">
      <alignment vertical="center"/>
    </xf>
    <xf borderId="34" fillId="15" fontId="14" numFmtId="0" xfId="0" applyAlignment="1" applyBorder="1" applyFill="1" applyFont="1">
      <alignment horizontal="center" vertical="center"/>
    </xf>
    <xf borderId="0" fillId="0" fontId="2" numFmtId="0" xfId="0" applyFont="1"/>
    <xf borderId="49" fillId="15" fontId="18" numFmtId="0" xfId="0" applyAlignment="1" applyBorder="1" applyFont="1">
      <alignment horizontal="center" vertical="center"/>
    </xf>
    <xf borderId="16" fillId="0" fontId="2" numFmtId="0" xfId="0" applyAlignment="1" applyBorder="1" applyFont="1">
      <alignment horizontal="center"/>
    </xf>
    <xf borderId="50" fillId="0" fontId="20" numFmtId="0" xfId="0" applyAlignment="1" applyBorder="1" applyFont="1">
      <alignment shrinkToFit="0" vertical="center" wrapText="1"/>
    </xf>
    <xf borderId="46" fillId="0" fontId="2" numFmtId="0" xfId="0" applyAlignment="1" applyBorder="1" applyFont="1">
      <alignment horizontal="left" shrinkToFit="0" wrapText="1"/>
    </xf>
    <xf borderId="51" fillId="15" fontId="18" numFmtId="0" xfId="0" applyAlignment="1" applyBorder="1" applyFont="1">
      <alignment horizontal="center" vertical="center"/>
    </xf>
    <xf borderId="52" fillId="15" fontId="18" numFmtId="0" xfId="0" applyAlignment="1" applyBorder="1" applyFont="1">
      <alignment horizontal="center" vertical="center"/>
    </xf>
    <xf borderId="46" fillId="0" fontId="20" numFmtId="0" xfId="0" applyAlignment="1" applyBorder="1" applyFont="1">
      <alignment vertical="center"/>
    </xf>
    <xf borderId="46" fillId="0" fontId="20" numFmtId="0" xfId="0" applyAlignment="1" applyBorder="1" applyFont="1">
      <alignment horizontal="left" vertical="center"/>
    </xf>
    <xf borderId="46" fillId="0" fontId="2" numFmtId="0" xfId="0" applyAlignment="1" applyBorder="1" applyFont="1">
      <alignment horizontal="left"/>
    </xf>
    <xf borderId="53" fillId="15" fontId="18" numFmtId="0" xfId="0" applyAlignment="1" applyBorder="1" applyFont="1">
      <alignment horizontal="center" vertical="center"/>
    </xf>
    <xf borderId="54" fillId="0" fontId="29" numFmtId="0" xfId="0" applyAlignment="1" applyBorder="1" applyFont="1">
      <alignment vertical="center"/>
    </xf>
    <xf borderId="55" fillId="0" fontId="7" numFmtId="0" xfId="0" applyBorder="1" applyFont="1"/>
    <xf borderId="13" fillId="0" fontId="16" numFmtId="0" xfId="0" applyAlignment="1" applyBorder="1" applyFont="1">
      <alignment readingOrder="0"/>
    </xf>
    <xf borderId="56" fillId="15" fontId="18" numFmtId="0" xfId="0" applyAlignment="1" applyBorder="1" applyFont="1">
      <alignment horizontal="center" vertical="center"/>
    </xf>
    <xf borderId="0" fillId="0" fontId="29" numFmtId="0" xfId="0" applyAlignment="1" applyFont="1">
      <alignment vertical="center"/>
    </xf>
    <xf borderId="57" fillId="0" fontId="7" numFmtId="0" xfId="0" applyBorder="1" applyFont="1"/>
    <xf borderId="58" fillId="0" fontId="29" numFmtId="0" xfId="0" applyAlignment="1" applyBorder="1" applyFont="1">
      <alignment horizontal="left" vertical="center"/>
    </xf>
    <xf borderId="54" fillId="0" fontId="6" numFmtId="0" xfId="0" applyAlignment="1" applyBorder="1" applyFont="1">
      <alignment horizontal="left" vertical="center"/>
    </xf>
    <xf borderId="54" fillId="0" fontId="29" numFmtId="0" xfId="0" applyAlignment="1" applyBorder="1" applyFont="1">
      <alignment readingOrder="0" vertical="center"/>
    </xf>
    <xf borderId="59" fillId="0" fontId="29" numFmtId="0" xfId="0" applyAlignment="1" applyBorder="1" applyFont="1">
      <alignment horizontal="left" vertical="center"/>
    </xf>
    <xf borderId="60" fillId="0" fontId="7" numFmtId="0" xfId="0" applyBorder="1" applyFont="1"/>
    <xf borderId="61" fillId="0" fontId="6" numFmtId="0" xfId="0" applyAlignment="1" applyBorder="1" applyFont="1">
      <alignment horizontal="left" vertical="center"/>
    </xf>
    <xf borderId="62" fillId="0" fontId="7" numFmtId="0" xfId="0" applyBorder="1" applyFont="1"/>
    <xf borderId="0" fillId="0" fontId="30" numFmtId="0" xfId="0" applyFont="1"/>
    <xf borderId="58" fillId="0" fontId="29" numFmtId="0" xfId="0" applyAlignment="1" applyBorder="1" applyFont="1">
      <alignment vertical="center"/>
    </xf>
    <xf borderId="58" fillId="0" fontId="6" numFmtId="0" xfId="0" applyAlignment="1" applyBorder="1" applyFont="1">
      <alignment horizontal="left" vertical="center"/>
    </xf>
    <xf borderId="54" fillId="0" fontId="7" numFmtId="0" xfId="0" applyBorder="1" applyFont="1"/>
    <xf borderId="63" fillId="0" fontId="6" numFmtId="0" xfId="0" applyAlignment="1" applyBorder="1" applyFont="1">
      <alignment horizontal="left" vertical="center"/>
    </xf>
    <xf borderId="34" fillId="16" fontId="22" numFmtId="0" xfId="0" applyAlignment="1" applyBorder="1" applyFill="1" applyFont="1">
      <alignment horizontal="center" vertical="center"/>
    </xf>
    <xf borderId="52" fillId="16" fontId="21" numFmtId="0" xfId="0" applyAlignment="1" applyBorder="1" applyFont="1">
      <alignment horizontal="center" vertical="center"/>
    </xf>
    <xf borderId="58" fillId="0" fontId="29" numFmtId="0" xfId="0" applyAlignment="1" applyBorder="1" applyFont="1">
      <alignment horizontal="left" readingOrder="0" vertical="center"/>
    </xf>
    <xf borderId="13" fillId="0" fontId="2" numFmtId="0" xfId="0" applyAlignment="1" applyBorder="1" applyFont="1">
      <alignment readingOrder="0"/>
    </xf>
    <xf borderId="49" fillId="16" fontId="21" numFmtId="0" xfId="0" applyAlignment="1" applyBorder="1" applyFont="1">
      <alignment horizontal="center" vertical="center"/>
    </xf>
    <xf borderId="64" fillId="0" fontId="20" numFmtId="0" xfId="0" applyAlignment="1" applyBorder="1" applyFont="1">
      <alignment shrinkToFit="0" vertical="center" wrapText="1"/>
    </xf>
    <xf borderId="16" fillId="0" fontId="2" numFmtId="0" xfId="0" applyAlignment="1" applyBorder="1" applyFont="1">
      <alignment readingOrder="0"/>
    </xf>
    <xf borderId="16" fillId="0" fontId="2" numFmtId="0" xfId="0" applyAlignment="1" applyBorder="1" applyFont="1">
      <alignment horizontal="center" readingOrder="0" vertical="center"/>
    </xf>
    <xf borderId="0" fillId="0" fontId="31" numFmtId="0" xfId="0" applyAlignment="1" applyFont="1">
      <alignment horizontal="left" vertical="center"/>
    </xf>
    <xf borderId="58" fillId="0" fontId="29" numFmtId="0" xfId="0" applyAlignment="1" applyBorder="1" applyFont="1">
      <alignment readingOrder="0" vertical="center"/>
    </xf>
    <xf borderId="58" fillId="0" fontId="29" numFmtId="0" xfId="0" applyAlignment="1" applyBorder="1" applyFont="1">
      <alignment shrinkToFit="0" vertical="center" wrapText="1"/>
    </xf>
    <xf borderId="3" fillId="3" fontId="32" numFmtId="0" xfId="0" applyAlignment="1" applyBorder="1" applyFont="1">
      <alignment horizontal="center" shrinkToFit="0" vertical="center" wrapText="1"/>
    </xf>
    <xf borderId="0" fillId="0" fontId="33" numFmtId="0" xfId="0" applyAlignment="1" applyFont="1">
      <alignment readingOrder="0"/>
    </xf>
    <xf borderId="54" fillId="0" fontId="29" numFmtId="0" xfId="0" applyAlignment="1" applyBorder="1" applyFont="1">
      <alignment readingOrder="0" shrinkToFit="0" vertical="center" wrapText="1"/>
    </xf>
    <xf borderId="0" fillId="0" fontId="29" numFmtId="0" xfId="0" applyAlignment="1" applyFont="1">
      <alignment shrinkToFit="0" vertical="center" wrapText="1"/>
    </xf>
    <xf borderId="59" fillId="0" fontId="29" numFmtId="0" xfId="0" applyAlignment="1" applyBorder="1" applyFont="1">
      <alignment horizontal="left" shrinkToFit="0" vertical="center" wrapText="1"/>
    </xf>
    <xf borderId="59" fillId="0" fontId="6" numFmtId="0" xfId="0" applyAlignment="1" applyBorder="1" applyFont="1">
      <alignment horizontal="left" shrinkToFit="0" vertical="center" wrapText="1"/>
    </xf>
    <xf borderId="58" fillId="0" fontId="6" numFmtId="0" xfId="0" applyAlignment="1" applyBorder="1" applyFont="1">
      <alignment horizontal="left" shrinkToFit="0" vertical="center" wrapText="1"/>
    </xf>
    <xf borderId="54" fillId="0" fontId="6" numFmtId="0" xfId="0" applyAlignment="1" applyBorder="1" applyFont="1">
      <alignment horizontal="left" readingOrder="0" shrinkToFit="0" vertical="center" wrapText="1"/>
    </xf>
    <xf borderId="65" fillId="0" fontId="7" numFmtId="0" xfId="0" applyBorder="1" applyFont="1"/>
    <xf borderId="59" fillId="0" fontId="29" numFmtId="0" xfId="0" applyAlignment="1" applyBorder="1" applyFont="1">
      <alignment shrinkToFit="0" vertical="center" wrapText="1"/>
    </xf>
    <xf borderId="58" fillId="0" fontId="29" numFmtId="0" xfId="0" applyAlignment="1" applyBorder="1" applyFont="1">
      <alignment horizontal="left" shrinkToFit="0" vertical="center" wrapText="1"/>
    </xf>
    <xf borderId="3" fillId="0" fontId="19" numFmtId="0" xfId="0" applyAlignment="1" applyBorder="1" applyFont="1">
      <alignment shrinkToFit="0" vertical="center" wrapText="1"/>
    </xf>
    <xf borderId="54" fillId="0" fontId="29" numFmtId="0" xfId="0" applyAlignment="1" applyBorder="1" applyFont="1">
      <alignment shrinkToFit="0" vertical="center" wrapText="1"/>
    </xf>
    <xf borderId="56" fillId="15" fontId="25" numFmtId="0" xfId="0" applyAlignment="1" applyBorder="1" applyFont="1">
      <alignment horizontal="center" readingOrder="0" vertical="center"/>
    </xf>
    <xf borderId="8" fillId="17" fontId="14" numFmtId="0" xfId="0" applyAlignment="1" applyBorder="1" applyFill="1" applyFont="1">
      <alignment horizontal="center" vertical="center"/>
    </xf>
    <xf borderId="0" fillId="0" fontId="13" numFmtId="0" xfId="0" applyAlignment="1" applyFont="1">
      <alignment horizontal="left" vertical="center"/>
    </xf>
    <xf borderId="0" fillId="0" fontId="34" numFmtId="0" xfId="0" applyFont="1"/>
    <xf borderId="34" fillId="18" fontId="14" numFmtId="0" xfId="0" applyAlignment="1" applyBorder="1" applyFill="1" applyFont="1">
      <alignment horizontal="center" vertical="center"/>
    </xf>
    <xf borderId="0" fillId="0" fontId="35" numFmtId="0" xfId="0" applyFont="1"/>
    <xf borderId="0" fillId="0" fontId="35" numFmtId="0" xfId="0" applyAlignment="1" applyFont="1">
      <alignment horizontal="center" vertical="center"/>
    </xf>
    <xf borderId="66" fillId="18" fontId="18" numFmtId="0" xfId="0" applyAlignment="1" applyBorder="1" applyFont="1">
      <alignment horizontal="center" vertical="center"/>
    </xf>
    <xf borderId="67" fillId="0" fontId="29" numFmtId="0" xfId="0" applyAlignment="1" applyBorder="1" applyFont="1">
      <alignment vertical="center"/>
    </xf>
    <xf borderId="68" fillId="0" fontId="7" numFmtId="0" xfId="0" applyBorder="1" applyFont="1"/>
    <xf borderId="69" fillId="18" fontId="18" numFmtId="0" xfId="0" applyAlignment="1" applyBorder="1" applyFont="1">
      <alignment horizontal="center" vertical="center"/>
    </xf>
    <xf borderId="70" fillId="0" fontId="29" numFmtId="0" xfId="0" applyAlignment="1" applyBorder="1" applyFont="1">
      <alignment vertical="center"/>
    </xf>
    <xf borderId="71" fillId="0" fontId="7" numFmtId="0" xfId="0" applyBorder="1" applyFont="1"/>
    <xf borderId="72" fillId="18" fontId="18" numFmtId="0" xfId="0" applyAlignment="1" applyBorder="1" applyFont="1">
      <alignment horizontal="center" vertical="center"/>
    </xf>
    <xf borderId="73" fillId="0" fontId="29" numFmtId="0" xfId="0" applyAlignment="1" applyBorder="1" applyFont="1">
      <alignment vertical="center"/>
    </xf>
    <xf borderId="74" fillId="18" fontId="18" numFmtId="0" xfId="0" applyAlignment="1" applyBorder="1" applyFont="1">
      <alignment horizontal="center" vertical="center"/>
    </xf>
    <xf borderId="40" fillId="0" fontId="2" numFmtId="0" xfId="0" applyAlignment="1" applyBorder="1" applyFont="1">
      <alignment readingOrder="0"/>
    </xf>
    <xf borderId="75" fillId="18" fontId="18" numFmtId="0" xfId="0" applyAlignment="1" applyBorder="1" applyFont="1">
      <alignment horizontal="center" vertical="center"/>
    </xf>
    <xf borderId="76" fillId="0" fontId="29" numFmtId="0" xfId="0" applyAlignment="1" applyBorder="1" applyFont="1">
      <alignment horizontal="left" vertical="center"/>
    </xf>
    <xf borderId="77" fillId="0" fontId="7" numFmtId="0" xfId="0" applyBorder="1" applyFont="1"/>
    <xf borderId="8" fillId="19" fontId="14" numFmtId="0" xfId="0" applyAlignment="1" applyBorder="1" applyFill="1" applyFont="1">
      <alignment horizontal="center" vertical="center"/>
    </xf>
    <xf borderId="34" fillId="19" fontId="14" numFmtId="0" xfId="0" applyAlignment="1" applyBorder="1" applyFont="1">
      <alignment horizontal="center" vertical="center"/>
    </xf>
    <xf borderId="78" fillId="0" fontId="2" numFmtId="0" xfId="0" applyBorder="1" applyFont="1"/>
    <xf borderId="79" fillId="19" fontId="18" numFmtId="0" xfId="0" applyAlignment="1" applyBorder="1" applyFont="1">
      <alignment horizontal="center" vertical="center"/>
    </xf>
    <xf borderId="80" fillId="0" fontId="20" numFmtId="0" xfId="0" applyAlignment="1" applyBorder="1" applyFont="1">
      <alignment shrinkToFit="0" vertical="center" wrapText="1"/>
    </xf>
    <xf borderId="81" fillId="0" fontId="7" numFmtId="0" xfId="0" applyBorder="1" applyFont="1"/>
    <xf borderId="82" fillId="19" fontId="18" numFmtId="0" xfId="0" applyAlignment="1" applyBorder="1" applyFont="1">
      <alignment horizontal="center" vertical="center"/>
    </xf>
    <xf borderId="83" fillId="19" fontId="18" numFmtId="0" xfId="0" applyAlignment="1" applyBorder="1" applyFont="1">
      <alignment horizontal="center" vertical="center"/>
    </xf>
    <xf borderId="84" fillId="0" fontId="20" numFmtId="0" xfId="0" applyAlignment="1" applyBorder="1" applyFont="1">
      <alignment shrinkToFit="0" vertical="center" wrapText="1"/>
    </xf>
    <xf borderId="85" fillId="0" fontId="7" numFmtId="0" xfId="0" applyBorder="1" applyFont="1"/>
    <xf borderId="84" fillId="0" fontId="20" numFmtId="0" xfId="0" applyAlignment="1" applyBorder="1" applyFont="1">
      <alignment horizontal="left" shrinkToFit="0" vertical="center" wrapText="1"/>
    </xf>
    <xf borderId="80" fillId="0" fontId="2" numFmtId="0" xfId="0" applyBorder="1" applyFont="1"/>
    <xf borderId="80" fillId="0" fontId="20" numFmtId="0" xfId="0" applyAlignment="1" applyBorder="1" applyFont="1">
      <alignment vertical="center"/>
    </xf>
    <xf borderId="84" fillId="0" fontId="20" numFmtId="0" xfId="0" applyAlignment="1" applyBorder="1" applyFont="1">
      <alignment vertical="center"/>
    </xf>
    <xf borderId="84" fillId="0" fontId="20" numFmtId="0" xfId="0" applyAlignment="1" applyBorder="1" applyFont="1">
      <alignment horizontal="left" vertical="center"/>
    </xf>
    <xf borderId="8" fillId="20" fontId="14" numFmtId="0" xfId="0" applyAlignment="1" applyBorder="1" applyFill="1" applyFont="1">
      <alignment horizontal="center" vertical="center"/>
    </xf>
    <xf borderId="34" fillId="20" fontId="14" numFmtId="0" xfId="0" applyAlignment="1" applyBorder="1" applyFont="1">
      <alignment horizontal="center" vertical="center"/>
    </xf>
    <xf borderId="86" fillId="20" fontId="18" numFmtId="0" xfId="0" applyAlignment="1" applyBorder="1" applyFont="1">
      <alignment horizontal="center" vertical="center"/>
    </xf>
    <xf borderId="87" fillId="0" fontId="19" numFmtId="0" xfId="0" applyAlignment="1" applyBorder="1" applyFont="1">
      <alignment shrinkToFit="0" vertical="center" wrapText="1"/>
    </xf>
    <xf borderId="88" fillId="0" fontId="7" numFmtId="0" xfId="0" applyBorder="1" applyFont="1"/>
    <xf borderId="89" fillId="0" fontId="21" numFmtId="0" xfId="0" applyAlignment="1" applyBorder="1" applyFont="1">
      <alignment horizontal="center" vertical="center"/>
    </xf>
    <xf borderId="90" fillId="0" fontId="21" numFmtId="0" xfId="0" applyBorder="1" applyFont="1"/>
    <xf borderId="91" fillId="0" fontId="21" numFmtId="0" xfId="0" applyAlignment="1" applyBorder="1" applyFont="1">
      <alignment horizontal="center" vertical="center"/>
    </xf>
    <xf borderId="25" fillId="0" fontId="21" numFmtId="0" xfId="0" applyAlignment="1" applyBorder="1" applyFont="1">
      <alignment readingOrder="0"/>
    </xf>
    <xf borderId="92" fillId="0" fontId="2" numFmtId="0" xfId="0" applyBorder="1" applyFont="1"/>
    <xf borderId="93" fillId="20" fontId="18" numFmtId="0" xfId="0" applyAlignment="1" applyBorder="1" applyFont="1">
      <alignment horizontal="center" vertical="center"/>
    </xf>
    <xf borderId="94" fillId="0" fontId="21" numFmtId="0" xfId="0" applyAlignment="1" applyBorder="1" applyFont="1">
      <alignment horizontal="center" vertical="center"/>
    </xf>
    <xf borderId="95" fillId="0" fontId="21" numFmtId="0" xfId="0" applyBorder="1" applyFont="1"/>
    <xf borderId="2" fillId="0" fontId="21" numFmtId="0" xfId="0" applyAlignment="1" applyBorder="1" applyFont="1">
      <alignment readingOrder="0"/>
    </xf>
    <xf borderId="96" fillId="20" fontId="18" numFmtId="0" xfId="0" applyAlignment="1" applyBorder="1" applyFont="1">
      <alignment horizontal="center" vertical="center"/>
    </xf>
    <xf borderId="0" fillId="0" fontId="21" numFmtId="0" xfId="0" applyFont="1"/>
    <xf borderId="3" fillId="0" fontId="21" numFmtId="0" xfId="0" applyAlignment="1" applyBorder="1" applyFont="1">
      <alignment horizontal="center" vertical="center"/>
    </xf>
    <xf borderId="27" fillId="0" fontId="21" numFmtId="0" xfId="0" applyBorder="1" applyFont="1"/>
    <xf borderId="5" fillId="0" fontId="21" numFmtId="0" xfId="0" applyAlignment="1" applyBorder="1" applyFont="1">
      <alignment readingOrder="0"/>
    </xf>
    <xf borderId="97" fillId="20" fontId="18" numFmtId="0" xfId="0" applyAlignment="1" applyBorder="1" applyFont="1">
      <alignment horizontal="center" vertical="center"/>
    </xf>
    <xf borderId="98" fillId="0" fontId="21" numFmtId="0" xfId="0" applyAlignment="1" applyBorder="1" applyFont="1">
      <alignment horizontal="center" vertical="center"/>
    </xf>
    <xf borderId="32" fillId="0" fontId="21" numFmtId="0" xfId="0" applyBorder="1" applyFont="1"/>
    <xf borderId="64" fillId="0" fontId="21" numFmtId="0" xfId="0" applyAlignment="1" applyBorder="1" applyFont="1">
      <alignment readingOrder="0"/>
    </xf>
    <xf borderId="87" fillId="0" fontId="21" numFmtId="0" xfId="0" applyAlignment="1" applyBorder="1" applyFont="1">
      <alignment horizontal="left"/>
    </xf>
    <xf borderId="3" fillId="0" fontId="21" numFmtId="0" xfId="0" applyBorder="1" applyFont="1"/>
    <xf borderId="3" fillId="0" fontId="21" numFmtId="0" xfId="0" applyAlignment="1" applyBorder="1" applyFont="1">
      <alignment readingOrder="0"/>
    </xf>
    <xf borderId="87" fillId="0" fontId="21" numFmtId="0" xfId="0" applyAlignment="1" applyBorder="1" applyFont="1">
      <alignment horizontal="left" vertical="center"/>
    </xf>
    <xf borderId="99" fillId="20" fontId="18" numFmtId="0" xfId="0" applyAlignment="1" applyBorder="1" applyFont="1">
      <alignment horizontal="center" vertical="center"/>
    </xf>
    <xf borderId="87" fillId="0" fontId="21" numFmtId="0" xfId="0" applyAlignment="1" applyBorder="1" applyFont="1">
      <alignment horizontal="left" readingOrder="0" vertical="center"/>
    </xf>
    <xf borderId="87" fillId="0" fontId="20" numFmtId="0" xfId="0" applyAlignment="1" applyBorder="1" applyFont="1">
      <alignment shrinkToFit="0" vertical="center" wrapText="1"/>
    </xf>
    <xf borderId="100" fillId="20" fontId="18" numFmtId="0" xfId="0" applyAlignment="1" applyBorder="1" applyFont="1">
      <alignment horizontal="center" vertical="center"/>
    </xf>
    <xf borderId="5" fillId="0" fontId="2" numFmtId="0" xfId="0" applyAlignment="1" applyBorder="1" applyFont="1">
      <alignment horizontal="center" vertical="center"/>
    </xf>
    <xf borderId="5" fillId="0" fontId="2" numFmtId="0" xfId="0" applyBorder="1" applyFont="1"/>
    <xf borderId="87" fillId="0" fontId="2" numFmtId="0" xfId="0" applyAlignment="1" applyBorder="1" applyFont="1">
      <alignment horizontal="left"/>
    </xf>
    <xf borderId="8" fillId="21" fontId="14" numFmtId="0" xfId="0" applyAlignment="1" applyBorder="1" applyFill="1" applyFont="1">
      <alignment horizontal="center" vertical="center"/>
    </xf>
    <xf borderId="101" fillId="22" fontId="22" numFmtId="0" xfId="0" applyAlignment="1" applyBorder="1" applyFill="1" applyFont="1">
      <alignment horizontal="center" vertical="center"/>
    </xf>
    <xf borderId="102" fillId="0" fontId="7" numFmtId="0" xfId="0" applyBorder="1" applyFont="1"/>
    <xf borderId="103" fillId="0" fontId="16" numFmtId="0" xfId="0" applyBorder="1" applyFont="1"/>
    <xf borderId="104" fillId="0" fontId="2" numFmtId="0" xfId="0" applyBorder="1" applyFont="1"/>
    <xf borderId="104" fillId="0" fontId="7" numFmtId="0" xfId="0" applyBorder="1" applyFont="1"/>
    <xf borderId="105" fillId="22" fontId="21" numFmtId="0" xfId="0" applyAlignment="1" applyBorder="1" applyFont="1">
      <alignment horizontal="center" vertical="center"/>
    </xf>
    <xf borderId="106" fillId="0" fontId="19" numFmtId="0" xfId="0" applyAlignment="1" applyBorder="1" applyFont="1">
      <alignment shrinkToFit="0" vertical="center" wrapText="1"/>
    </xf>
    <xf borderId="107" fillId="0" fontId="7" numFmtId="0" xfId="0" applyBorder="1" applyFont="1"/>
    <xf borderId="108" fillId="0" fontId="19" numFmtId="0" xfId="0" applyAlignment="1" applyBorder="1" applyFont="1">
      <alignment shrinkToFit="0" vertical="center" wrapText="1"/>
    </xf>
    <xf borderId="109" fillId="0" fontId="7" numFmtId="0" xfId="0" applyBorder="1" applyFont="1"/>
    <xf borderId="110" fillId="22" fontId="21" numFmtId="0" xfId="0" applyAlignment="1" applyBorder="1" applyFont="1">
      <alignment horizontal="center" vertical="center"/>
    </xf>
    <xf borderId="108" fillId="0" fontId="19" numFmtId="0" xfId="0" applyAlignment="1" applyBorder="1" applyFont="1">
      <alignment horizontal="left" shrinkToFit="0" vertical="center" wrapText="1"/>
    </xf>
    <xf borderId="111" fillId="22" fontId="21" numFmtId="0" xfId="0" applyAlignment="1" applyBorder="1" applyFont="1">
      <alignment horizontal="center" vertical="center"/>
    </xf>
    <xf borderId="42" fillId="0" fontId="2" numFmtId="0" xfId="0" applyAlignment="1" applyBorder="1" applyFont="1">
      <alignment readingOrder="0"/>
    </xf>
    <xf borderId="112" fillId="22" fontId="21" numFmtId="0" xfId="0" applyAlignment="1" applyBorder="1" applyFont="1">
      <alignment horizontal="center" vertical="center"/>
    </xf>
    <xf borderId="113" fillId="0" fontId="19" numFmtId="0" xfId="0" applyAlignment="1" applyBorder="1" applyFont="1">
      <alignment shrinkToFit="0" vertical="center" wrapText="1"/>
    </xf>
    <xf borderId="114" fillId="0" fontId="7" numFmtId="0" xfId="0" applyBorder="1" applyFont="1"/>
    <xf borderId="103" fillId="0" fontId="19" numFmtId="0" xfId="0" applyAlignment="1" applyBorder="1" applyFont="1">
      <alignment shrinkToFit="0" vertical="center" wrapText="1"/>
    </xf>
    <xf borderId="115" fillId="0" fontId="7" numFmtId="0" xfId="0" applyBorder="1" applyFont="1"/>
    <xf borderId="106" fillId="0" fontId="19" numFmtId="0" xfId="0" applyAlignment="1" applyBorder="1" applyFont="1">
      <alignment horizontal="left" shrinkToFit="0" vertical="center" wrapText="1"/>
    </xf>
    <xf borderId="101" fillId="23" fontId="22" numFmtId="0" xfId="0" applyAlignment="1" applyBorder="1" applyFill="1" applyFont="1">
      <alignment horizontal="center" vertical="center"/>
    </xf>
    <xf borderId="112" fillId="23" fontId="21" numFmtId="0" xfId="0" applyAlignment="1" applyBorder="1" applyFont="1">
      <alignment horizontal="center" vertical="center"/>
    </xf>
    <xf borderId="105" fillId="23" fontId="21" numFmtId="0" xfId="0" applyAlignment="1" applyBorder="1" applyFont="1">
      <alignment horizontal="center" vertical="center"/>
    </xf>
    <xf borderId="116" fillId="23" fontId="21" numFmtId="0" xfId="0" applyAlignment="1" applyBorder="1" applyFont="1">
      <alignment horizontal="center" vertical="center"/>
    </xf>
    <xf borderId="110" fillId="23" fontId="21" numFmtId="0" xfId="0" applyAlignment="1" applyBorder="1" applyFont="1">
      <alignment horizontal="center" vertical="center"/>
    </xf>
    <xf borderId="117" fillId="0" fontId="2" numFmtId="0" xfId="0" applyBorder="1" applyFont="1"/>
    <xf borderId="4" fillId="0" fontId="2" numFmtId="0" xfId="0" applyBorder="1" applyFont="1"/>
    <xf borderId="2" fillId="0" fontId="2" numFmtId="0" xfId="0" applyBorder="1" applyFont="1"/>
    <xf borderId="106" fillId="0" fontId="19" numFmtId="0" xfId="0" applyAlignment="1" applyBorder="1" applyFont="1">
      <alignment readingOrder="0" shrinkToFit="0" vertical="center" wrapText="1"/>
    </xf>
    <xf borderId="8" fillId="23" fontId="22" numFmtId="0" xfId="0" applyAlignment="1" applyBorder="1" applyFont="1">
      <alignment horizontal="center" vertical="center"/>
    </xf>
    <xf borderId="8" fillId="24" fontId="14" numFmtId="0" xfId="0" applyAlignment="1" applyBorder="1" applyFill="1" applyFont="1">
      <alignment horizontal="center" vertical="center"/>
    </xf>
    <xf borderId="101" fillId="24" fontId="22" numFmtId="0" xfId="0" applyAlignment="1" applyBorder="1" applyFont="1">
      <alignment horizontal="center" vertical="center"/>
    </xf>
    <xf borderId="105" fillId="24" fontId="21" numFmtId="0" xfId="0" applyAlignment="1" applyBorder="1" applyFont="1">
      <alignment horizontal="center" vertical="center"/>
    </xf>
    <xf borderId="112" fillId="24" fontId="21" numFmtId="0" xfId="0" applyAlignment="1" applyBorder="1" applyFont="1">
      <alignment horizontal="center" vertical="center"/>
    </xf>
    <xf borderId="110" fillId="24" fontId="21" numFmtId="0" xfId="0" applyAlignment="1" applyBorder="1" applyFont="1">
      <alignment horizontal="center" vertical="center"/>
    </xf>
    <xf borderId="111" fillId="24" fontId="21" numFmtId="0" xfId="0" applyAlignment="1" applyBorder="1" applyFont="1">
      <alignment horizontal="center" vertical="center"/>
    </xf>
    <xf borderId="14" fillId="0" fontId="2" numFmtId="0" xfId="0" applyAlignment="1" applyBorder="1" applyFont="1">
      <alignment horizontal="center" vertical="center"/>
    </xf>
    <xf borderId="118" fillId="24" fontId="21" numFmtId="0" xfId="0" applyAlignment="1" applyBorder="1" applyFont="1">
      <alignment horizontal="center" vertical="center"/>
    </xf>
    <xf borderId="119" fillId="0" fontId="19" numFmtId="0" xfId="0" applyAlignment="1" applyBorder="1" applyFont="1">
      <alignment shrinkToFit="0" vertical="center" wrapText="1"/>
    </xf>
    <xf borderId="120" fillId="0" fontId="7" numFmtId="0" xfId="0" applyBorder="1" applyFont="1"/>
    <xf borderId="8" fillId="25" fontId="14" numFmtId="0" xfId="0" applyAlignment="1" applyBorder="1" applyFill="1" applyFont="1">
      <alignment horizontal="center" vertical="center"/>
    </xf>
    <xf borderId="101" fillId="25" fontId="22" numFmtId="0" xfId="0" applyAlignment="1" applyBorder="1" applyFont="1">
      <alignment horizontal="center" vertical="center"/>
    </xf>
    <xf borderId="112" fillId="25" fontId="21" numFmtId="0" xfId="0" applyAlignment="1" applyBorder="1" applyFont="1">
      <alignment horizontal="center" vertical="center"/>
    </xf>
    <xf borderId="121" fillId="0" fontId="19" numFmtId="0" xfId="0" applyAlignment="1" applyBorder="1" applyFont="1">
      <alignment shrinkToFit="0" vertical="center" wrapText="1"/>
    </xf>
    <xf borderId="122" fillId="0" fontId="7" numFmtId="0" xfId="0" applyBorder="1" applyFont="1"/>
    <xf borderId="105" fillId="25" fontId="21" numFmtId="0" xfId="0" applyAlignment="1" applyBorder="1" applyFont="1">
      <alignment horizontal="center" vertical="center"/>
    </xf>
    <xf borderId="123" fillId="0" fontId="7" numFmtId="0" xfId="0" applyBorder="1" applyFont="1"/>
    <xf borderId="110" fillId="25" fontId="21" numFmtId="0" xfId="0" applyAlignment="1" applyBorder="1" applyFont="1">
      <alignment horizontal="center" vertical="center"/>
    </xf>
    <xf borderId="1" fillId="0" fontId="19" numFmtId="0" xfId="0" applyAlignment="1" applyBorder="1" applyFont="1">
      <alignment horizontal="left" shrinkToFit="0" vertical="center" wrapText="1"/>
    </xf>
    <xf borderId="111" fillId="25" fontId="21" numFmtId="0" xfId="0" applyAlignment="1" applyBorder="1" applyFont="1">
      <alignment horizontal="center" vertical="center"/>
    </xf>
    <xf borderId="24" fillId="0" fontId="19" numFmtId="0" xfId="0" applyAlignment="1" applyBorder="1" applyFont="1">
      <alignment readingOrder="0" shrinkToFit="0" vertical="center" wrapText="1"/>
    </xf>
    <xf borderId="124" fillId="0" fontId="7" numFmtId="0" xfId="0" applyBorder="1" applyFont="1"/>
    <xf borderId="3" fillId="25" fontId="21" numFmtId="0" xfId="0" applyAlignment="1" applyBorder="1" applyFont="1">
      <alignment horizontal="center" vertical="center"/>
    </xf>
    <xf borderId="24" fillId="0" fontId="19" numFmtId="0" xfId="0" applyAlignment="1" applyBorder="1" applyFont="1">
      <alignment shrinkToFit="0" vertical="center" wrapText="1"/>
    </xf>
    <xf borderId="125" fillId="25" fontId="21" numFmtId="0" xfId="0" applyAlignment="1" applyBorder="1" applyFont="1">
      <alignment horizontal="center" vertical="center"/>
    </xf>
    <xf borderId="24" fillId="0" fontId="19" numFmtId="0" xfId="0" applyAlignment="1" applyBorder="1" applyFont="1">
      <alignment horizontal="left" shrinkToFit="0" vertical="center" wrapText="1"/>
    </xf>
    <xf borderId="101" fillId="26" fontId="22" numFmtId="0" xfId="0" applyAlignment="1" applyBorder="1" applyFill="1" applyFont="1">
      <alignment horizontal="center" vertical="center"/>
    </xf>
    <xf borderId="112" fillId="26" fontId="21" numFmtId="0" xfId="0" applyAlignment="1" applyBorder="1" applyFont="1">
      <alignment horizontal="center" vertical="center"/>
    </xf>
    <xf borderId="105" fillId="26" fontId="21" numFmtId="0" xfId="0" applyAlignment="1" applyBorder="1" applyFont="1">
      <alignment horizontal="center" vertical="center"/>
    </xf>
    <xf borderId="110" fillId="26" fontId="21" numFmtId="0" xfId="0" applyAlignment="1" applyBorder="1" applyFont="1">
      <alignment horizontal="center" vertical="center"/>
    </xf>
    <xf borderId="111" fillId="26" fontId="21" numFmtId="0" xfId="0" applyAlignment="1" applyBorder="1" applyFont="1">
      <alignment horizontal="center" vertical="center"/>
    </xf>
    <xf borderId="118" fillId="26" fontId="21" numFmtId="0" xfId="0" applyAlignment="1" applyBorder="1" applyFont="1">
      <alignment horizontal="center" vertical="center"/>
    </xf>
    <xf borderId="108" fillId="0" fontId="19" numFmtId="0" xfId="0" applyAlignment="1" applyBorder="1" applyFont="1">
      <alignment readingOrder="0" shrinkToFit="0" vertical="center" wrapText="1"/>
    </xf>
    <xf borderId="106" fillId="0" fontId="19" numFmtId="0" xfId="0" applyAlignment="1" applyBorder="1" applyFont="1">
      <alignment readingOrder="0" vertical="center"/>
    </xf>
    <xf borderId="105" fillId="22" fontId="21" numFmtId="0" xfId="0" applyAlignment="1" applyBorder="1" applyFont="1">
      <alignment horizontal="center" readingOrder="0" vertical="center"/>
    </xf>
    <xf borderId="106" fillId="0" fontId="19" numFmtId="0" xfId="0" applyAlignment="1" applyBorder="1" applyFont="1">
      <alignment vertical="center"/>
    </xf>
  </cellXfs>
  <cellStyles count="1">
    <cellStyle xfId="0" name="Normal" builtinId="0"/>
  </cellStyles>
  <dxfs count="3">
    <dxf>
      <font/>
      <fill>
        <patternFill patternType="none"/>
      </fill>
      <border/>
    </dxf>
    <dxf>
      <font/>
      <fill>
        <patternFill patternType="solid">
          <fgColor rgb="FFD9E2F3"/>
          <bgColor rgb="FFD9E2F3"/>
        </patternFill>
      </fill>
      <border/>
    </dxf>
    <dxf>
      <font/>
      <fill>
        <patternFill patternType="solid">
          <fgColor theme="0"/>
          <bgColor theme="0"/>
        </patternFill>
      </fill>
      <border/>
    </dxf>
  </dxfs>
  <tableStyles count="1">
    <tableStyle count="2" pivot="0" name="Indic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80" Type="http://schemas.openxmlformats.org/officeDocument/2006/relationships/worksheet" Target="worksheets/sheet77.xml"/><Relationship Id="rId81"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31" Type="http://schemas.openxmlformats.org/officeDocument/2006/relationships/worksheet" Target="worksheets/sheet28.xml"/><Relationship Id="rId75" Type="http://schemas.openxmlformats.org/officeDocument/2006/relationships/worksheet" Target="worksheets/sheet72.xml"/><Relationship Id="rId30" Type="http://schemas.openxmlformats.org/officeDocument/2006/relationships/worksheet" Target="worksheets/sheet27.xml"/><Relationship Id="rId74" Type="http://schemas.openxmlformats.org/officeDocument/2006/relationships/worksheet" Target="worksheets/sheet71.xml"/><Relationship Id="rId33" Type="http://schemas.openxmlformats.org/officeDocument/2006/relationships/worksheet" Target="worksheets/sheet30.xml"/><Relationship Id="rId77" Type="http://schemas.openxmlformats.org/officeDocument/2006/relationships/worksheet" Target="worksheets/sheet74.xml"/><Relationship Id="rId32" Type="http://schemas.openxmlformats.org/officeDocument/2006/relationships/worksheet" Target="worksheets/sheet29.xml"/><Relationship Id="rId76" Type="http://schemas.openxmlformats.org/officeDocument/2006/relationships/worksheet" Target="worksheets/sheet73.xml"/><Relationship Id="rId35" Type="http://schemas.openxmlformats.org/officeDocument/2006/relationships/worksheet" Target="worksheets/sheet32.xml"/><Relationship Id="rId79" Type="http://schemas.openxmlformats.org/officeDocument/2006/relationships/worksheet" Target="worksheets/sheet76.xml"/><Relationship Id="rId34" Type="http://schemas.openxmlformats.org/officeDocument/2006/relationships/worksheet" Target="worksheets/sheet31.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schemas.openxmlformats.org/officeDocument/2006/relationships/worksheet" Target="worksheets/sheet63.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68" Type="http://schemas.openxmlformats.org/officeDocument/2006/relationships/worksheet" Target="worksheets/sheet65.xml"/><Relationship Id="rId23" Type="http://schemas.openxmlformats.org/officeDocument/2006/relationships/worksheet" Target="worksheets/sheet20.xml"/><Relationship Id="rId67" Type="http://schemas.openxmlformats.org/officeDocument/2006/relationships/worksheet" Target="worksheets/sheet64.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69" Type="http://schemas.openxmlformats.org/officeDocument/2006/relationships/worksheet" Target="worksheets/sheet66.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Distribución de Requerimientos</a:t>
            </a:r>
          </a:p>
        </c:rich>
      </c:tx>
      <c:overlay val="0"/>
    </c:title>
    <c:plotArea>
      <c:layout/>
      <c:pieChart>
        <c:varyColors val="1"/>
        <c:ser>
          <c:idx val="0"/>
          <c:order val="0"/>
          <c:dPt>
            <c:idx val="0"/>
            <c:spPr>
              <a:solidFill>
                <a:schemeClr val="accent1"/>
              </a:solidFill>
            </c:spPr>
          </c:dPt>
          <c:dPt>
            <c:idx val="1"/>
            <c:spPr>
              <a:solidFill>
                <a:schemeClr val="accent2"/>
              </a:solidFill>
            </c:spPr>
          </c:dPt>
          <c:dLbls>
            <c:showLegendKey val="0"/>
            <c:showVal val="0"/>
            <c:showCatName val="0"/>
            <c:showSerName val="0"/>
            <c:showPercent val="0"/>
            <c:showBubbleSize val="0"/>
            <c:showLeaderLines val="1"/>
          </c:dLbls>
          <c:cat>
            <c:strRef>
              <c:f>Estadisticas!$A$2:$A$3</c:f>
            </c:strRef>
          </c:cat>
          <c:val>
            <c:numRef>
              <c:f>Estadisticas!$B$2:$B$3</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i="0" sz="90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485775</xdr:colOff>
      <xdr:row>1</xdr:row>
      <xdr:rowOff>47625</xdr:rowOff>
    </xdr:from>
    <xdr:ext cx="2714625" cy="523875"/>
    <xdr:sp>
      <xdr:nvSpPr>
        <xdr:cNvPr id="3" name="Shape 3"/>
        <xdr:cNvSpPr/>
      </xdr:nvSpPr>
      <xdr:spPr>
        <a:xfrm>
          <a:off x="3993450" y="3522825"/>
          <a:ext cx="2705100" cy="514350"/>
        </a:xfrm>
        <a:prstGeom prst="roundRect">
          <a:avLst>
            <a:gd fmla="val 16667" name="adj"/>
          </a:avLst>
        </a:prstGeom>
        <a:solidFill>
          <a:srgbClr val="107C41"/>
        </a:solidFill>
        <a:ln cap="flat" cmpd="sng" w="12700">
          <a:solidFill>
            <a:srgbClr val="1C3052"/>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Ejecutar Index_dinamico</a:t>
          </a:r>
          <a:endParaRPr sz="1400"/>
        </a:p>
      </xdr:txBody>
    </xdr:sp>
    <xdr:clientData fLocksWithSheet="0"/>
  </xdr:oneCellAnchor>
  <xdr:oneCellAnchor>
    <xdr:from>
      <xdr:col>9</xdr:col>
      <xdr:colOff>381000</xdr:colOff>
      <xdr:row>4</xdr:row>
      <xdr:rowOff>9525</xdr:rowOff>
    </xdr:from>
    <xdr:ext cx="5572125" cy="35242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381000</xdr:colOff>
      <xdr:row>0</xdr:row>
      <xdr:rowOff>95250</xdr:rowOff>
    </xdr:from>
    <xdr:ext cx="3562350" cy="3209925"/>
    <xdr:graphicFrame>
      <xdr:nvGraphicFramePr>
        <xdr:cNvPr id="69943772"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10</xdr:row>
      <xdr:rowOff>0</xdr:rowOff>
    </xdr:from>
    <xdr:ext cx="2333625" cy="323850"/>
    <xdr:sp>
      <xdr:nvSpPr>
        <xdr:cNvPr id="4" name="Shape 4"/>
        <xdr:cNvSpPr/>
      </xdr:nvSpPr>
      <xdr:spPr>
        <a:xfrm>
          <a:off x="4183950" y="3622838"/>
          <a:ext cx="2324100" cy="314325"/>
        </a:xfrm>
        <a:prstGeom prst="roundRect">
          <a:avLst>
            <a:gd fmla="val 16667" name="adj"/>
          </a:avLst>
        </a:prstGeom>
        <a:solidFill>
          <a:srgbClr val="107C41"/>
        </a:solidFill>
        <a:ln cap="flat" cmpd="sng" w="12700">
          <a:solidFill>
            <a:srgbClr val="1C3052"/>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Ejecutar creacion_estadisticas</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400050</xdr:colOff>
      <xdr:row>1</xdr:row>
      <xdr:rowOff>66675</xdr:rowOff>
    </xdr:from>
    <xdr:ext cx="2219325" cy="314325"/>
    <xdr:sp>
      <xdr:nvSpPr>
        <xdr:cNvPr id="5" name="Shape 5"/>
        <xdr:cNvSpPr/>
      </xdr:nvSpPr>
      <xdr:spPr>
        <a:xfrm>
          <a:off x="4241100" y="3627600"/>
          <a:ext cx="2209800" cy="304800"/>
        </a:xfrm>
        <a:prstGeom prst="roundRect">
          <a:avLst>
            <a:gd fmla="val 16667" name="adj"/>
          </a:avLst>
        </a:prstGeom>
        <a:solidFill>
          <a:srgbClr val="107C41"/>
        </a:solidFill>
        <a:ln cap="flat" cmpd="sng" w="12700">
          <a:solidFill>
            <a:srgbClr val="1C3052"/>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Ejecutar agrega_requerimientos</a:t>
          </a:r>
          <a:endParaRPr sz="1400"/>
        </a:p>
      </xdr:txBody>
    </xdr:sp>
    <xdr:clientData fLocksWithSheet="0"/>
  </xdr:oneCellAnchor>
</xdr:wsD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T1:T74" displayName="Table_1" name="Table_1" id="1">
  <tableColumns count="1">
    <tableColumn name="Column1" id="1"/>
  </tableColumns>
  <tableStyleInfo name="Indic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mpralo.revital.cloud/" TargetMode="External"/><Relationship Id="rId2" Type="http://schemas.openxmlformats.org/officeDocument/2006/relationships/hyperlink" Target="http://ahernandezlara03gmail.com/"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ompralo.revital.cloud/"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compralo.revital.cloud/"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compralo.revital.cloud/products"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compralo.revital.cloud/discounts"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compralo.revital.cloud/discounts"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compralo.revital.cloud/discounts"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compralo.revital.cloud/contacto"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compralo.revital.cloud/contacto"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compralo.revital.cloud/seguimiento"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43"/>
    <col customWidth="1" min="3" max="3" width="12.14"/>
    <col customWidth="1" min="4" max="4" width="8.71"/>
    <col customWidth="1" min="5" max="5" width="34.43"/>
    <col customWidth="1" min="6" max="6" width="10.71"/>
    <col customWidth="1" min="7" max="7" width="8.71"/>
    <col customWidth="1" min="8" max="8" width="40.14"/>
    <col customWidth="1" min="9" max="9" width="36.14"/>
    <col customWidth="1" min="10" max="12" width="8.71"/>
    <col customWidth="1" min="13" max="13" width="25.29"/>
    <col customWidth="1" min="14" max="26" width="8.71"/>
  </cols>
  <sheetData>
    <row r="1">
      <c r="A1" s="1" t="s">
        <v>0</v>
      </c>
      <c r="B1" s="1" t="s">
        <v>1</v>
      </c>
      <c r="C1" s="1" t="s">
        <v>2</v>
      </c>
      <c r="D1" s="2"/>
      <c r="E1" s="2" t="s">
        <v>1</v>
      </c>
      <c r="F1" s="2" t="s">
        <v>3</v>
      </c>
      <c r="T1" s="3" t="s">
        <v>4</v>
      </c>
    </row>
    <row r="2" hidden="1">
      <c r="A2" s="4" t="s">
        <v>4</v>
      </c>
      <c r="B2" s="4" t="s">
        <v>5</v>
      </c>
      <c r="C2" s="5" t="s">
        <v>6</v>
      </c>
      <c r="D2" s="2"/>
      <c r="E2" s="2"/>
      <c r="F2" s="2"/>
      <c r="H2" s="6" t="s">
        <v>7</v>
      </c>
      <c r="T2" s="3" t="s">
        <v>8</v>
      </c>
    </row>
    <row r="3" hidden="1">
      <c r="A3" s="7" t="s">
        <v>8</v>
      </c>
      <c r="B3" s="7" t="s">
        <v>9</v>
      </c>
      <c r="C3" s="8" t="s">
        <v>6</v>
      </c>
      <c r="D3" s="2"/>
      <c r="E3" s="2" t="s">
        <v>10</v>
      </c>
      <c r="F3" s="2"/>
      <c r="T3" s="3" t="s">
        <v>11</v>
      </c>
    </row>
    <row r="4">
      <c r="A4" s="4" t="s">
        <v>11</v>
      </c>
      <c r="B4" s="4" t="s">
        <v>12</v>
      </c>
      <c r="C4" s="5" t="s">
        <v>6</v>
      </c>
      <c r="D4" s="2"/>
      <c r="E4" s="9" t="s">
        <v>4</v>
      </c>
      <c r="F4" s="2"/>
      <c r="T4" s="3" t="s">
        <v>13</v>
      </c>
    </row>
    <row r="5" hidden="1">
      <c r="A5" s="7" t="s">
        <v>13</v>
      </c>
      <c r="B5" s="7" t="s">
        <v>9</v>
      </c>
      <c r="C5" s="8" t="s">
        <v>6</v>
      </c>
      <c r="D5" s="2"/>
      <c r="E5" s="9" t="s">
        <v>6</v>
      </c>
      <c r="F5" s="2"/>
      <c r="H5" s="10" t="s">
        <v>14</v>
      </c>
      <c r="I5" s="11"/>
      <c r="T5" s="3" t="s">
        <v>15</v>
      </c>
    </row>
    <row r="6">
      <c r="A6" s="4" t="s">
        <v>15</v>
      </c>
      <c r="B6" s="4" t="s">
        <v>12</v>
      </c>
      <c r="C6" s="5" t="s">
        <v>6</v>
      </c>
      <c r="D6" s="2"/>
      <c r="E6" s="9" t="s">
        <v>16</v>
      </c>
      <c r="F6" s="2"/>
      <c r="H6" s="12" t="s">
        <v>17</v>
      </c>
      <c r="I6" s="13" t="s">
        <v>18</v>
      </c>
      <c r="T6" s="3" t="s">
        <v>19</v>
      </c>
    </row>
    <row r="7" hidden="1">
      <c r="A7" s="7" t="s">
        <v>19</v>
      </c>
      <c r="B7" s="7" t="s">
        <v>9</v>
      </c>
      <c r="C7" s="8" t="s">
        <v>6</v>
      </c>
      <c r="D7" s="2"/>
      <c r="E7" s="9" t="s">
        <v>6</v>
      </c>
      <c r="F7" s="2"/>
      <c r="H7" s="12" t="s">
        <v>20</v>
      </c>
      <c r="I7" s="14" t="s">
        <v>21</v>
      </c>
      <c r="T7" s="3" t="s">
        <v>22</v>
      </c>
    </row>
    <row r="8">
      <c r="A8" s="4" t="s">
        <v>22</v>
      </c>
      <c r="B8" s="4" t="s">
        <v>12</v>
      </c>
      <c r="C8" s="5" t="s">
        <v>6</v>
      </c>
      <c r="D8" s="2"/>
      <c r="E8" s="9" t="s">
        <v>23</v>
      </c>
      <c r="F8" s="2"/>
      <c r="H8" s="12" t="s">
        <v>24</v>
      </c>
      <c r="I8" s="14" t="s">
        <v>25</v>
      </c>
      <c r="T8" s="3" t="s">
        <v>26</v>
      </c>
    </row>
    <row r="9" hidden="1">
      <c r="A9" s="7" t="s">
        <v>26</v>
      </c>
      <c r="B9" s="7" t="s">
        <v>9</v>
      </c>
      <c r="C9" s="8" t="s">
        <v>6</v>
      </c>
      <c r="D9" s="2"/>
      <c r="E9" s="9" t="s">
        <v>6</v>
      </c>
      <c r="F9" s="2"/>
      <c r="H9" s="12" t="s">
        <v>27</v>
      </c>
      <c r="I9" s="15" t="s">
        <v>28</v>
      </c>
      <c r="T9" s="3" t="s">
        <v>29</v>
      </c>
    </row>
    <row r="10">
      <c r="A10" s="4" t="s">
        <v>29</v>
      </c>
      <c r="B10" s="4" t="s">
        <v>12</v>
      </c>
      <c r="C10" s="5" t="s">
        <v>6</v>
      </c>
      <c r="D10" s="2"/>
      <c r="E10" s="9" t="s">
        <v>30</v>
      </c>
      <c r="F10" s="2"/>
      <c r="T10" s="3" t="s">
        <v>31</v>
      </c>
    </row>
    <row r="11" hidden="1">
      <c r="A11" s="7" t="s">
        <v>31</v>
      </c>
      <c r="B11" s="7" t="s">
        <v>9</v>
      </c>
      <c r="C11" s="8" t="s">
        <v>6</v>
      </c>
      <c r="D11" s="2"/>
      <c r="E11" s="9" t="s">
        <v>6</v>
      </c>
      <c r="F11" s="2"/>
      <c r="H11" s="10" t="s">
        <v>32</v>
      </c>
      <c r="I11" s="11"/>
      <c r="T11" s="3" t="s">
        <v>33</v>
      </c>
    </row>
    <row r="12">
      <c r="A12" s="4" t="s">
        <v>33</v>
      </c>
      <c r="B12" s="4" t="s">
        <v>12</v>
      </c>
      <c r="C12" s="5" t="s">
        <v>6</v>
      </c>
      <c r="D12" s="2"/>
      <c r="E12" s="9" t="s">
        <v>34</v>
      </c>
      <c r="F12" s="2"/>
      <c r="H12" s="12" t="s">
        <v>35</v>
      </c>
      <c r="I12" s="16" t="s">
        <v>36</v>
      </c>
      <c r="T12" s="3" t="s">
        <v>37</v>
      </c>
    </row>
    <row r="13" hidden="1">
      <c r="A13" s="7" t="s">
        <v>37</v>
      </c>
      <c r="B13" s="7" t="s">
        <v>9</v>
      </c>
      <c r="C13" s="8" t="s">
        <v>6</v>
      </c>
      <c r="D13" s="2"/>
      <c r="E13" s="9" t="s">
        <v>6</v>
      </c>
      <c r="F13" s="2"/>
      <c r="H13" s="12" t="s">
        <v>20</v>
      </c>
      <c r="I13" s="14" t="s">
        <v>38</v>
      </c>
      <c r="T13" s="3" t="s">
        <v>39</v>
      </c>
    </row>
    <row r="14">
      <c r="A14" s="4" t="s">
        <v>39</v>
      </c>
      <c r="B14" s="4" t="s">
        <v>12</v>
      </c>
      <c r="C14" s="5" t="s">
        <v>6</v>
      </c>
      <c r="D14" s="2"/>
      <c r="E14" s="9" t="s">
        <v>40</v>
      </c>
      <c r="F14" s="2"/>
      <c r="H14" s="12" t="s">
        <v>41</v>
      </c>
      <c r="I14" s="14" t="s">
        <v>42</v>
      </c>
      <c r="T14" s="3" t="s">
        <v>43</v>
      </c>
    </row>
    <row r="15" hidden="1">
      <c r="A15" s="7" t="s">
        <v>43</v>
      </c>
      <c r="B15" s="7" t="s">
        <v>9</v>
      </c>
      <c r="C15" s="8" t="s">
        <v>6</v>
      </c>
      <c r="D15" s="2"/>
      <c r="E15" s="9" t="s">
        <v>6</v>
      </c>
      <c r="F15" s="2"/>
      <c r="T15" s="3" t="s">
        <v>44</v>
      </c>
    </row>
    <row r="16">
      <c r="A16" s="4" t="s">
        <v>44</v>
      </c>
      <c r="B16" s="4" t="s">
        <v>12</v>
      </c>
      <c r="C16" s="5" t="s">
        <v>6</v>
      </c>
      <c r="D16" s="2"/>
      <c r="E16" s="9" t="s">
        <v>45</v>
      </c>
      <c r="F16" s="2"/>
      <c r="H16" s="10" t="s">
        <v>46</v>
      </c>
      <c r="I16" s="11"/>
      <c r="T16" s="3" t="s">
        <v>47</v>
      </c>
    </row>
    <row r="17" hidden="1">
      <c r="A17" s="7" t="s">
        <v>47</v>
      </c>
      <c r="B17" s="7" t="s">
        <v>9</v>
      </c>
      <c r="C17" s="8" t="s">
        <v>6</v>
      </c>
      <c r="D17" s="2"/>
      <c r="E17" s="9" t="s">
        <v>6</v>
      </c>
      <c r="F17" s="2"/>
      <c r="G17" s="17" t="s">
        <v>48</v>
      </c>
      <c r="H17" s="12" t="s">
        <v>49</v>
      </c>
      <c r="I17" s="18" t="s">
        <v>50</v>
      </c>
      <c r="T17" s="3" t="s">
        <v>51</v>
      </c>
    </row>
    <row r="18">
      <c r="A18" s="4" t="s">
        <v>51</v>
      </c>
      <c r="B18" s="4" t="s">
        <v>12</v>
      </c>
      <c r="C18" s="5" t="s">
        <v>6</v>
      </c>
      <c r="D18" s="2"/>
      <c r="E18" s="9" t="s">
        <v>52</v>
      </c>
      <c r="F18" s="2"/>
      <c r="G18" s="19"/>
      <c r="H18" s="12" t="s">
        <v>53</v>
      </c>
      <c r="I18" s="14" t="s">
        <v>54</v>
      </c>
      <c r="T18" s="3" t="s">
        <v>55</v>
      </c>
    </row>
    <row r="19" hidden="1">
      <c r="A19" s="7" t="s">
        <v>55</v>
      </c>
      <c r="B19" s="7" t="s">
        <v>9</v>
      </c>
      <c r="C19" s="8" t="s">
        <v>6</v>
      </c>
      <c r="D19" s="2"/>
      <c r="E19" s="9" t="s">
        <v>6</v>
      </c>
      <c r="F19" s="2"/>
      <c r="G19" s="17" t="s">
        <v>56</v>
      </c>
      <c r="H19" s="12" t="s">
        <v>49</v>
      </c>
      <c r="I19" s="20" t="s">
        <v>57</v>
      </c>
      <c r="T19" s="3" t="s">
        <v>58</v>
      </c>
    </row>
    <row r="20">
      <c r="A20" s="4" t="s">
        <v>58</v>
      </c>
      <c r="B20" s="4" t="s">
        <v>12</v>
      </c>
      <c r="C20" s="5" t="s">
        <v>6</v>
      </c>
      <c r="D20" s="2"/>
      <c r="E20" s="9" t="s">
        <v>31</v>
      </c>
      <c r="F20" s="2"/>
      <c r="G20" s="19"/>
      <c r="H20" s="12" t="s">
        <v>53</v>
      </c>
      <c r="I20" s="19"/>
      <c r="T20" s="3" t="s">
        <v>59</v>
      </c>
    </row>
    <row r="21" ht="15.75" hidden="1" customHeight="1">
      <c r="A21" s="7" t="s">
        <v>59</v>
      </c>
      <c r="B21" s="7" t="s">
        <v>9</v>
      </c>
      <c r="C21" s="8" t="s">
        <v>6</v>
      </c>
      <c r="D21" s="2"/>
      <c r="E21" s="9" t="s">
        <v>6</v>
      </c>
      <c r="F21" s="2"/>
      <c r="T21" s="3" t="s">
        <v>60</v>
      </c>
    </row>
    <row r="22" ht="15.75" customHeight="1">
      <c r="A22" s="4" t="s">
        <v>60</v>
      </c>
      <c r="B22" s="4" t="s">
        <v>12</v>
      </c>
      <c r="C22" s="5" t="s">
        <v>6</v>
      </c>
      <c r="D22" s="2"/>
      <c r="E22" s="9" t="s">
        <v>61</v>
      </c>
      <c r="F22" s="2"/>
      <c r="H22" s="10" t="s">
        <v>62</v>
      </c>
      <c r="I22" s="11"/>
      <c r="T22" s="3" t="s">
        <v>63</v>
      </c>
    </row>
    <row r="23" ht="15.75" hidden="1" customHeight="1">
      <c r="A23" s="7" t="s">
        <v>63</v>
      </c>
      <c r="B23" s="7" t="s">
        <v>9</v>
      </c>
      <c r="C23" s="8" t="s">
        <v>6</v>
      </c>
      <c r="D23" s="2"/>
      <c r="E23" s="9" t="s">
        <v>6</v>
      </c>
      <c r="F23" s="2"/>
      <c r="H23" s="12" t="s">
        <v>64</v>
      </c>
      <c r="I23" s="15">
        <v>3.991111111E9</v>
      </c>
      <c r="T23" s="3" t="s">
        <v>65</v>
      </c>
    </row>
    <row r="24" ht="15.75" customHeight="1">
      <c r="A24" s="4" t="s">
        <v>65</v>
      </c>
      <c r="B24" s="4" t="s">
        <v>12</v>
      </c>
      <c r="C24" s="5" t="s">
        <v>6</v>
      </c>
      <c r="D24" s="2"/>
      <c r="E24" s="9" t="s">
        <v>66</v>
      </c>
      <c r="F24" s="2"/>
      <c r="H24" s="12" t="s">
        <v>67</v>
      </c>
      <c r="I24" s="14" t="s">
        <v>68</v>
      </c>
      <c r="T24" s="3" t="s">
        <v>69</v>
      </c>
    </row>
    <row r="25" ht="15.75" hidden="1" customHeight="1">
      <c r="A25" s="7" t="s">
        <v>69</v>
      </c>
      <c r="B25" s="7" t="s">
        <v>9</v>
      </c>
      <c r="C25" s="8" t="s">
        <v>6</v>
      </c>
      <c r="D25" s="2"/>
      <c r="E25" s="9" t="s">
        <v>6</v>
      </c>
      <c r="F25" s="2"/>
      <c r="H25" s="12" t="s">
        <v>70</v>
      </c>
      <c r="I25" s="14" t="s">
        <v>71</v>
      </c>
      <c r="T25" s="3" t="s">
        <v>72</v>
      </c>
    </row>
    <row r="26" ht="15.75" customHeight="1">
      <c r="A26" s="4" t="s">
        <v>72</v>
      </c>
      <c r="B26" s="4" t="s">
        <v>12</v>
      </c>
      <c r="C26" s="5" t="s">
        <v>6</v>
      </c>
      <c r="D26" s="2"/>
      <c r="E26" s="9" t="s">
        <v>73</v>
      </c>
      <c r="F26" s="2"/>
      <c r="T26" s="3" t="s">
        <v>74</v>
      </c>
    </row>
    <row r="27" ht="15.75" hidden="1" customHeight="1">
      <c r="A27" s="7" t="s">
        <v>74</v>
      </c>
      <c r="B27" s="7" t="s">
        <v>9</v>
      </c>
      <c r="C27" s="8" t="s">
        <v>6</v>
      </c>
      <c r="D27" s="2"/>
      <c r="E27" s="9" t="s">
        <v>6</v>
      </c>
      <c r="F27" s="2"/>
      <c r="T27" s="3" t="s">
        <v>75</v>
      </c>
    </row>
    <row r="28" ht="15.75" customHeight="1">
      <c r="A28" s="4" t="s">
        <v>75</v>
      </c>
      <c r="B28" s="4" t="s">
        <v>12</v>
      </c>
      <c r="C28" s="5" t="s">
        <v>6</v>
      </c>
      <c r="D28" s="2"/>
      <c r="E28" s="9" t="s">
        <v>63</v>
      </c>
      <c r="F28" s="2"/>
      <c r="T28" s="3" t="s">
        <v>76</v>
      </c>
    </row>
    <row r="29" ht="15.75" hidden="1" customHeight="1">
      <c r="A29" s="7" t="s">
        <v>76</v>
      </c>
      <c r="B29" s="7" t="s">
        <v>9</v>
      </c>
      <c r="C29" s="8" t="s">
        <v>6</v>
      </c>
      <c r="D29" s="2"/>
      <c r="E29" s="9" t="s">
        <v>6</v>
      </c>
      <c r="F29" s="2"/>
      <c r="T29" s="3" t="s">
        <v>77</v>
      </c>
    </row>
    <row r="30" ht="15.75" customHeight="1">
      <c r="A30" s="4" t="s">
        <v>77</v>
      </c>
      <c r="B30" s="4" t="s">
        <v>12</v>
      </c>
      <c r="C30" s="5" t="s">
        <v>6</v>
      </c>
      <c r="D30" s="2"/>
      <c r="E30" s="9" t="s">
        <v>43</v>
      </c>
      <c r="F30" s="2"/>
      <c r="T30" s="3" t="s">
        <v>30</v>
      </c>
    </row>
    <row r="31" ht="15.75" hidden="1" customHeight="1">
      <c r="A31" s="7" t="s">
        <v>30</v>
      </c>
      <c r="B31" s="7" t="s">
        <v>9</v>
      </c>
      <c r="C31" s="8" t="s">
        <v>6</v>
      </c>
      <c r="D31" s="2"/>
      <c r="E31" s="9" t="s">
        <v>6</v>
      </c>
      <c r="F31" s="2"/>
      <c r="T31" s="3" t="s">
        <v>78</v>
      </c>
    </row>
    <row r="32" ht="15.75" customHeight="1">
      <c r="A32" s="4" t="s">
        <v>78</v>
      </c>
      <c r="B32" s="4" t="s">
        <v>12</v>
      </c>
      <c r="C32" s="5" t="s">
        <v>6</v>
      </c>
      <c r="D32" s="2"/>
      <c r="E32" s="9" t="s">
        <v>79</v>
      </c>
      <c r="F32" s="2"/>
      <c r="T32" s="3" t="s">
        <v>80</v>
      </c>
    </row>
    <row r="33" ht="15.75" hidden="1" customHeight="1">
      <c r="A33" s="7" t="s">
        <v>80</v>
      </c>
      <c r="B33" s="7" t="s">
        <v>9</v>
      </c>
      <c r="C33" s="8" t="s">
        <v>6</v>
      </c>
      <c r="D33" s="2"/>
      <c r="E33" s="9" t="s">
        <v>6</v>
      </c>
      <c r="F33" s="2"/>
      <c r="T33" s="3" t="s">
        <v>81</v>
      </c>
    </row>
    <row r="34" ht="15.75" customHeight="1">
      <c r="A34" s="4" t="s">
        <v>81</v>
      </c>
      <c r="B34" s="4" t="s">
        <v>12</v>
      </c>
      <c r="C34" s="5" t="s">
        <v>6</v>
      </c>
      <c r="D34" s="2"/>
      <c r="E34" s="9" t="s">
        <v>13</v>
      </c>
      <c r="F34" s="2"/>
      <c r="T34" s="3" t="s">
        <v>16</v>
      </c>
    </row>
    <row r="35" ht="15.75" hidden="1" customHeight="1">
      <c r="A35" s="7" t="s">
        <v>16</v>
      </c>
      <c r="B35" s="7" t="s">
        <v>9</v>
      </c>
      <c r="C35" s="8" t="s">
        <v>6</v>
      </c>
      <c r="D35" s="2"/>
      <c r="E35" s="9" t="s">
        <v>6</v>
      </c>
      <c r="F35" s="2"/>
      <c r="T35" s="3" t="s">
        <v>82</v>
      </c>
    </row>
    <row r="36" ht="15.75" customHeight="1">
      <c r="A36" s="4" t="s">
        <v>82</v>
      </c>
      <c r="B36" s="4" t="s">
        <v>12</v>
      </c>
      <c r="C36" s="5" t="s">
        <v>6</v>
      </c>
      <c r="D36" s="2"/>
      <c r="E36" s="9" t="s">
        <v>37</v>
      </c>
      <c r="F36" s="2"/>
      <c r="T36" s="3" t="s">
        <v>66</v>
      </c>
    </row>
    <row r="37" ht="15.75" hidden="1" customHeight="1">
      <c r="A37" s="7" t="s">
        <v>66</v>
      </c>
      <c r="B37" s="7" t="s">
        <v>9</v>
      </c>
      <c r="C37" s="8" t="s">
        <v>6</v>
      </c>
      <c r="D37" s="2"/>
      <c r="E37" s="9" t="s">
        <v>6</v>
      </c>
      <c r="F37" s="2"/>
      <c r="T37" s="3" t="s">
        <v>83</v>
      </c>
    </row>
    <row r="38" ht="15.75" customHeight="1">
      <c r="A38" s="4" t="s">
        <v>83</v>
      </c>
      <c r="B38" s="4" t="s">
        <v>12</v>
      </c>
      <c r="C38" s="5" t="s">
        <v>6</v>
      </c>
      <c r="D38" s="2"/>
      <c r="E38" s="9" t="s">
        <v>84</v>
      </c>
      <c r="F38" s="2"/>
      <c r="T38" s="3" t="s">
        <v>85</v>
      </c>
    </row>
    <row r="39" ht="15.75" hidden="1" customHeight="1">
      <c r="A39" s="7" t="s">
        <v>85</v>
      </c>
      <c r="B39" s="7" t="s">
        <v>9</v>
      </c>
      <c r="C39" s="8" t="s">
        <v>6</v>
      </c>
      <c r="D39" s="2"/>
      <c r="E39" s="9" t="s">
        <v>6</v>
      </c>
      <c r="F39" s="2"/>
      <c r="T39" s="3" t="s">
        <v>86</v>
      </c>
    </row>
    <row r="40" ht="15.75" customHeight="1">
      <c r="A40" s="4" t="s">
        <v>86</v>
      </c>
      <c r="B40" s="4" t="s">
        <v>12</v>
      </c>
      <c r="C40" s="5" t="s">
        <v>6</v>
      </c>
      <c r="D40" s="2"/>
      <c r="E40" s="9" t="s">
        <v>76</v>
      </c>
      <c r="F40" s="2"/>
      <c r="T40" s="3" t="s">
        <v>87</v>
      </c>
    </row>
    <row r="41" ht="15.75" hidden="1" customHeight="1">
      <c r="A41" s="7" t="s">
        <v>87</v>
      </c>
      <c r="B41" s="7" t="s">
        <v>9</v>
      </c>
      <c r="C41" s="8" t="s">
        <v>6</v>
      </c>
      <c r="D41" s="2"/>
      <c r="E41" s="9" t="s">
        <v>6</v>
      </c>
      <c r="F41" s="2"/>
      <c r="T41" s="3" t="s">
        <v>88</v>
      </c>
    </row>
    <row r="42" ht="15.75" customHeight="1">
      <c r="A42" s="4" t="s">
        <v>88</v>
      </c>
      <c r="B42" s="4" t="s">
        <v>12</v>
      </c>
      <c r="C42" s="5" t="s">
        <v>6</v>
      </c>
      <c r="D42" s="2"/>
      <c r="E42" s="9" t="s">
        <v>89</v>
      </c>
      <c r="F42" s="2"/>
      <c r="T42" s="3" t="s">
        <v>90</v>
      </c>
    </row>
    <row r="43" ht="15.75" hidden="1" customHeight="1">
      <c r="A43" s="7" t="s">
        <v>90</v>
      </c>
      <c r="B43" s="7" t="s">
        <v>5</v>
      </c>
      <c r="C43" s="8" t="s">
        <v>6</v>
      </c>
      <c r="D43" s="2"/>
      <c r="E43" s="9" t="s">
        <v>6</v>
      </c>
      <c r="F43" s="2"/>
      <c r="T43" s="3" t="s">
        <v>52</v>
      </c>
    </row>
    <row r="44" ht="15.75" hidden="1" customHeight="1">
      <c r="A44" s="4" t="s">
        <v>52</v>
      </c>
      <c r="B44" s="4" t="s">
        <v>9</v>
      </c>
      <c r="C44" s="5" t="s">
        <v>6</v>
      </c>
      <c r="D44" s="2"/>
      <c r="E44" s="9" t="s">
        <v>8</v>
      </c>
      <c r="F44" s="2"/>
      <c r="T44" s="3" t="s">
        <v>91</v>
      </c>
    </row>
    <row r="45" ht="15.75" customHeight="1">
      <c r="A45" s="7" t="s">
        <v>91</v>
      </c>
      <c r="B45" s="7" t="s">
        <v>12</v>
      </c>
      <c r="C45" s="8" t="s">
        <v>6</v>
      </c>
      <c r="D45" s="2"/>
      <c r="E45" s="9" t="s">
        <v>6</v>
      </c>
      <c r="F45" s="2"/>
      <c r="T45" s="3" t="s">
        <v>73</v>
      </c>
    </row>
    <row r="46" ht="15.75" hidden="1" customHeight="1">
      <c r="A46" s="4" t="s">
        <v>73</v>
      </c>
      <c r="B46" s="4" t="s">
        <v>9</v>
      </c>
      <c r="C46" s="5" t="s">
        <v>6</v>
      </c>
      <c r="D46" s="2"/>
      <c r="E46" s="9" t="s">
        <v>19</v>
      </c>
      <c r="F46" s="2"/>
      <c r="T46" s="3" t="s">
        <v>92</v>
      </c>
    </row>
    <row r="47" ht="15.75" customHeight="1">
      <c r="A47" s="7" t="s">
        <v>92</v>
      </c>
      <c r="B47" s="7" t="s">
        <v>12</v>
      </c>
      <c r="C47" s="8" t="s">
        <v>6</v>
      </c>
      <c r="D47" s="2"/>
      <c r="E47" s="9" t="s">
        <v>6</v>
      </c>
      <c r="F47" s="2"/>
      <c r="T47" s="3" t="s">
        <v>89</v>
      </c>
    </row>
    <row r="48" ht="15.75" hidden="1" customHeight="1">
      <c r="A48" s="4" t="s">
        <v>89</v>
      </c>
      <c r="B48" s="4" t="s">
        <v>9</v>
      </c>
      <c r="C48" s="5" t="s">
        <v>6</v>
      </c>
      <c r="D48" s="2"/>
      <c r="E48" s="9" t="s">
        <v>74</v>
      </c>
      <c r="F48" s="2"/>
      <c r="T48" s="3" t="s">
        <v>93</v>
      </c>
    </row>
    <row r="49" ht="15.75" customHeight="1">
      <c r="A49" s="7" t="s">
        <v>93</v>
      </c>
      <c r="B49" s="7" t="s">
        <v>12</v>
      </c>
      <c r="C49" s="8" t="s">
        <v>6</v>
      </c>
      <c r="D49" s="2"/>
      <c r="E49" s="9" t="s">
        <v>6</v>
      </c>
      <c r="F49" s="2"/>
      <c r="T49" s="3" t="s">
        <v>79</v>
      </c>
    </row>
    <row r="50" ht="15.75" hidden="1" customHeight="1">
      <c r="A50" s="4" t="s">
        <v>79</v>
      </c>
      <c r="B50" s="4" t="s">
        <v>9</v>
      </c>
      <c r="C50" s="5" t="s">
        <v>6</v>
      </c>
      <c r="D50" s="2"/>
      <c r="E50" s="9" t="s">
        <v>85</v>
      </c>
      <c r="F50" s="2"/>
      <c r="T50" s="3" t="s">
        <v>94</v>
      </c>
    </row>
    <row r="51" ht="15.75" customHeight="1">
      <c r="A51" s="7" t="s">
        <v>94</v>
      </c>
      <c r="B51" s="7" t="s">
        <v>12</v>
      </c>
      <c r="C51" s="8" t="s">
        <v>6</v>
      </c>
      <c r="D51" s="2"/>
      <c r="E51" s="9" t="s">
        <v>6</v>
      </c>
      <c r="F51" s="2"/>
      <c r="T51" s="3" t="s">
        <v>95</v>
      </c>
    </row>
    <row r="52" ht="15.75" hidden="1" customHeight="1">
      <c r="A52" s="4" t="s">
        <v>95</v>
      </c>
      <c r="B52" s="4" t="s">
        <v>9</v>
      </c>
      <c r="C52" s="5" t="s">
        <v>6</v>
      </c>
      <c r="D52" s="2"/>
      <c r="E52" s="9" t="s">
        <v>96</v>
      </c>
      <c r="F52" s="2"/>
      <c r="T52" s="3" t="s">
        <v>97</v>
      </c>
    </row>
    <row r="53" ht="15.75" customHeight="1">
      <c r="A53" s="7" t="s">
        <v>97</v>
      </c>
      <c r="B53" s="7" t="s">
        <v>12</v>
      </c>
      <c r="C53" s="8" t="s">
        <v>6</v>
      </c>
      <c r="D53" s="2"/>
      <c r="E53" s="9" t="s">
        <v>6</v>
      </c>
      <c r="F53" s="2"/>
      <c r="T53" s="3" t="s">
        <v>98</v>
      </c>
    </row>
    <row r="54" ht="15.75" hidden="1" customHeight="1">
      <c r="A54" s="4" t="s">
        <v>98</v>
      </c>
      <c r="B54" s="4" t="s">
        <v>9</v>
      </c>
      <c r="C54" s="5" t="s">
        <v>6</v>
      </c>
      <c r="D54" s="2"/>
      <c r="E54" s="9" t="s">
        <v>95</v>
      </c>
      <c r="F54" s="2"/>
      <c r="T54" s="3" t="s">
        <v>99</v>
      </c>
    </row>
    <row r="55" ht="15.75" customHeight="1">
      <c r="A55" s="7" t="s">
        <v>99</v>
      </c>
      <c r="B55" s="7" t="s">
        <v>12</v>
      </c>
      <c r="C55" s="8" t="s">
        <v>6</v>
      </c>
      <c r="D55" s="2"/>
      <c r="E55" s="9" t="s">
        <v>6</v>
      </c>
      <c r="F55" s="2"/>
      <c r="T55" s="3" t="s">
        <v>61</v>
      </c>
    </row>
    <row r="56" ht="15.75" hidden="1" customHeight="1">
      <c r="A56" s="4" t="s">
        <v>61</v>
      </c>
      <c r="B56" s="4" t="s">
        <v>9</v>
      </c>
      <c r="C56" s="5" t="s">
        <v>6</v>
      </c>
      <c r="D56" s="2"/>
      <c r="E56" s="9" t="s">
        <v>59</v>
      </c>
      <c r="F56" s="2"/>
      <c r="T56" s="3" t="s">
        <v>100</v>
      </c>
    </row>
    <row r="57" ht="15.75" customHeight="1">
      <c r="A57" s="7" t="s">
        <v>100</v>
      </c>
      <c r="B57" s="7" t="s">
        <v>12</v>
      </c>
      <c r="C57" s="8" t="s">
        <v>6</v>
      </c>
      <c r="D57" s="2"/>
      <c r="E57" s="9" t="s">
        <v>6</v>
      </c>
      <c r="F57" s="2"/>
      <c r="S57" s="21" t="s">
        <v>101</v>
      </c>
      <c r="T57" s="3" t="s">
        <v>102</v>
      </c>
    </row>
    <row r="58" ht="15.75" hidden="1" customHeight="1">
      <c r="A58" s="4" t="s">
        <v>102</v>
      </c>
      <c r="B58" s="4" t="s">
        <v>9</v>
      </c>
      <c r="C58" s="5" t="s">
        <v>6</v>
      </c>
      <c r="D58" s="2"/>
      <c r="E58" s="9" t="s">
        <v>47</v>
      </c>
      <c r="F58" s="2"/>
      <c r="T58" s="3" t="s">
        <v>103</v>
      </c>
    </row>
    <row r="59" ht="15.75" customHeight="1">
      <c r="A59" s="7" t="s">
        <v>103</v>
      </c>
      <c r="B59" s="7" t="s">
        <v>12</v>
      </c>
      <c r="C59" s="8" t="s">
        <v>6</v>
      </c>
      <c r="D59" s="2"/>
      <c r="E59" s="9" t="s">
        <v>6</v>
      </c>
      <c r="F59" s="2"/>
      <c r="T59" s="3" t="s">
        <v>23</v>
      </c>
    </row>
    <row r="60" ht="15.75" hidden="1" customHeight="1">
      <c r="A60" s="4" t="s">
        <v>23</v>
      </c>
      <c r="B60" s="4" t="s">
        <v>9</v>
      </c>
      <c r="C60" s="5" t="s">
        <v>6</v>
      </c>
      <c r="D60" s="2"/>
      <c r="E60" s="9" t="s">
        <v>80</v>
      </c>
      <c r="F60" s="2"/>
      <c r="T60" s="3" t="s">
        <v>104</v>
      </c>
    </row>
    <row r="61" ht="15.75" customHeight="1">
      <c r="A61" s="7" t="s">
        <v>104</v>
      </c>
      <c r="B61" s="7" t="s">
        <v>12</v>
      </c>
      <c r="C61" s="8" t="s">
        <v>6</v>
      </c>
      <c r="D61" s="2"/>
      <c r="E61" s="9" t="s">
        <v>6</v>
      </c>
      <c r="F61" s="2"/>
      <c r="T61" s="3" t="s">
        <v>96</v>
      </c>
    </row>
    <row r="62" ht="15.75" hidden="1" customHeight="1">
      <c r="A62" s="4" t="s">
        <v>96</v>
      </c>
      <c r="B62" s="4" t="s">
        <v>9</v>
      </c>
      <c r="C62" s="5" t="s">
        <v>6</v>
      </c>
      <c r="D62" s="2"/>
      <c r="E62" s="9" t="s">
        <v>87</v>
      </c>
      <c r="F62" s="2"/>
      <c r="T62" s="3" t="s">
        <v>105</v>
      </c>
    </row>
    <row r="63" ht="15.75" customHeight="1">
      <c r="A63" s="7" t="s">
        <v>105</v>
      </c>
      <c r="B63" s="7" t="s">
        <v>12</v>
      </c>
      <c r="C63" s="8" t="s">
        <v>6</v>
      </c>
      <c r="D63" s="2"/>
      <c r="E63" s="9" t="s">
        <v>6</v>
      </c>
      <c r="F63" s="2"/>
      <c r="T63" s="3" t="s">
        <v>106</v>
      </c>
    </row>
    <row r="64" ht="15.75" hidden="1" customHeight="1">
      <c r="A64" s="4" t="s">
        <v>106</v>
      </c>
      <c r="B64" s="4" t="s">
        <v>9</v>
      </c>
      <c r="C64" s="5" t="s">
        <v>6</v>
      </c>
      <c r="D64" s="2"/>
      <c r="E64" s="9" t="s">
        <v>26</v>
      </c>
      <c r="F64" s="2"/>
      <c r="T64" s="3" t="s">
        <v>107</v>
      </c>
    </row>
    <row r="65" ht="15.75" customHeight="1">
      <c r="A65" s="7" t="s">
        <v>107</v>
      </c>
      <c r="B65" s="7" t="s">
        <v>12</v>
      </c>
      <c r="C65" s="8" t="s">
        <v>6</v>
      </c>
      <c r="D65" s="2"/>
      <c r="E65" s="9" t="s">
        <v>6</v>
      </c>
      <c r="F65" s="2"/>
      <c r="T65" s="3" t="s">
        <v>84</v>
      </c>
    </row>
    <row r="66" ht="15.75" hidden="1" customHeight="1">
      <c r="A66" s="4" t="s">
        <v>84</v>
      </c>
      <c r="B66" s="4" t="s">
        <v>9</v>
      </c>
      <c r="C66" s="5" t="s">
        <v>6</v>
      </c>
      <c r="D66" s="2"/>
      <c r="E66" s="9" t="s">
        <v>98</v>
      </c>
      <c r="F66" s="2"/>
      <c r="T66" s="3" t="s">
        <v>108</v>
      </c>
    </row>
    <row r="67" ht="15.75" customHeight="1">
      <c r="A67" s="7" t="s">
        <v>108</v>
      </c>
      <c r="B67" s="7" t="s">
        <v>12</v>
      </c>
      <c r="C67" s="8" t="s">
        <v>6</v>
      </c>
      <c r="D67" s="2"/>
      <c r="E67" s="9" t="s">
        <v>6</v>
      </c>
      <c r="F67" s="2"/>
      <c r="T67" s="3" t="s">
        <v>109</v>
      </c>
    </row>
    <row r="68" ht="15.75" hidden="1" customHeight="1">
      <c r="A68" s="4" t="s">
        <v>109</v>
      </c>
      <c r="B68" s="4" t="s">
        <v>9</v>
      </c>
      <c r="C68" s="5" t="s">
        <v>6</v>
      </c>
      <c r="D68" s="2"/>
      <c r="E68" s="9" t="s">
        <v>106</v>
      </c>
      <c r="F68" s="2"/>
      <c r="T68" s="3" t="s">
        <v>110</v>
      </c>
    </row>
    <row r="69" ht="15.75" customHeight="1">
      <c r="A69" s="7" t="s">
        <v>110</v>
      </c>
      <c r="B69" s="7" t="s">
        <v>12</v>
      </c>
      <c r="C69" s="8" t="s">
        <v>6</v>
      </c>
      <c r="D69" s="2"/>
      <c r="E69" s="9" t="s">
        <v>6</v>
      </c>
      <c r="F69" s="2"/>
      <c r="T69" s="3" t="s">
        <v>34</v>
      </c>
    </row>
    <row r="70" ht="15.75" hidden="1" customHeight="1">
      <c r="A70" s="4" t="s">
        <v>34</v>
      </c>
      <c r="B70" s="4" t="s">
        <v>9</v>
      </c>
      <c r="C70" s="5" t="s">
        <v>6</v>
      </c>
      <c r="D70" s="2"/>
      <c r="E70" s="9" t="s">
        <v>109</v>
      </c>
      <c r="F70" s="2"/>
      <c r="T70" s="3" t="s">
        <v>111</v>
      </c>
    </row>
    <row r="71" ht="15.75" hidden="1" customHeight="1">
      <c r="A71" s="7" t="s">
        <v>111</v>
      </c>
      <c r="B71" s="7" t="s">
        <v>9</v>
      </c>
      <c r="C71" s="8" t="s">
        <v>6</v>
      </c>
      <c r="D71" s="2"/>
      <c r="E71" s="9" t="s">
        <v>6</v>
      </c>
      <c r="F71" s="2"/>
      <c r="T71" s="3" t="s">
        <v>40</v>
      </c>
    </row>
    <row r="72" ht="15.75" hidden="1" customHeight="1">
      <c r="A72" s="4" t="s">
        <v>40</v>
      </c>
      <c r="B72" s="4" t="s">
        <v>9</v>
      </c>
      <c r="C72" s="5" t="s">
        <v>6</v>
      </c>
      <c r="D72" s="2"/>
      <c r="E72" s="9" t="s">
        <v>69</v>
      </c>
      <c r="F72" s="2"/>
      <c r="T72" s="3" t="s">
        <v>112</v>
      </c>
    </row>
    <row r="73" ht="15.75" customHeight="1">
      <c r="A73" s="7" t="s">
        <v>112</v>
      </c>
      <c r="B73" s="7" t="s">
        <v>12</v>
      </c>
      <c r="C73" s="8" t="s">
        <v>6</v>
      </c>
      <c r="D73" s="2"/>
      <c r="E73" s="9" t="s">
        <v>6</v>
      </c>
      <c r="F73" s="2"/>
      <c r="T73" s="3" t="s">
        <v>45</v>
      </c>
    </row>
    <row r="74" ht="15.75" hidden="1" customHeight="1">
      <c r="A74" s="4" t="s">
        <v>45</v>
      </c>
      <c r="B74" s="4" t="s">
        <v>9</v>
      </c>
      <c r="C74" s="5" t="s">
        <v>6</v>
      </c>
      <c r="D74" s="2"/>
      <c r="E74" s="9" t="s">
        <v>55</v>
      </c>
      <c r="F74" s="2"/>
      <c r="T74" s="3" t="s">
        <v>113</v>
      </c>
    </row>
    <row r="75" ht="15.75" customHeight="1">
      <c r="A75" s="7" t="s">
        <v>113</v>
      </c>
      <c r="B75" s="7" t="s">
        <v>12</v>
      </c>
      <c r="C75" s="8" t="s">
        <v>6</v>
      </c>
      <c r="D75" s="2"/>
      <c r="E75" s="9" t="s">
        <v>6</v>
      </c>
      <c r="F75" s="2"/>
    </row>
    <row r="76" ht="15.75" customHeight="1">
      <c r="A76" s="2"/>
      <c r="B76" s="2"/>
      <c r="C76" s="2"/>
      <c r="D76" s="2"/>
      <c r="E76" s="9" t="s">
        <v>102</v>
      </c>
      <c r="F76" s="2"/>
    </row>
    <row r="77" ht="15.75" customHeight="1">
      <c r="A77" s="2"/>
      <c r="B77" s="2"/>
      <c r="C77" s="2"/>
      <c r="D77" s="2"/>
      <c r="E77" s="9" t="s">
        <v>6</v>
      </c>
      <c r="F77" s="2"/>
    </row>
    <row r="78" ht="15.75" customHeight="1">
      <c r="A78" s="2"/>
      <c r="B78" s="2"/>
      <c r="C78" s="2"/>
      <c r="D78" s="2"/>
      <c r="E78" s="9" t="s">
        <v>90</v>
      </c>
      <c r="F78" s="2"/>
    </row>
    <row r="79" ht="15.75" customHeight="1">
      <c r="A79" s="2"/>
      <c r="B79" s="2"/>
      <c r="C79" s="2"/>
      <c r="D79" s="2"/>
      <c r="E79" s="9" t="s">
        <v>6</v>
      </c>
      <c r="F79" s="2"/>
    </row>
    <row r="80" ht="15.75" customHeight="1">
      <c r="A80" s="2"/>
      <c r="B80" s="2"/>
      <c r="C80" s="2"/>
      <c r="D80" s="2"/>
      <c r="E80" s="9" t="s">
        <v>111</v>
      </c>
      <c r="F80" s="2"/>
    </row>
    <row r="81" ht="15.75" customHeight="1">
      <c r="A81" s="2"/>
      <c r="B81" s="2"/>
      <c r="C81" s="2"/>
      <c r="D81" s="2"/>
      <c r="E81" s="9" t="s">
        <v>6</v>
      </c>
      <c r="F81" s="2"/>
    </row>
    <row r="82" ht="15.75" customHeight="1">
      <c r="A82" s="2"/>
      <c r="B82" s="2"/>
      <c r="C82" s="2"/>
      <c r="D82" s="2"/>
      <c r="E82" s="9" t="s">
        <v>82</v>
      </c>
      <c r="F82" s="2"/>
    </row>
    <row r="83" ht="15.75" customHeight="1">
      <c r="A83" s="2"/>
      <c r="B83" s="2"/>
      <c r="C83" s="2"/>
      <c r="D83" s="2"/>
      <c r="E83" s="9" t="s">
        <v>6</v>
      </c>
      <c r="F83" s="2"/>
    </row>
    <row r="84" ht="15.75" customHeight="1">
      <c r="A84" s="2"/>
      <c r="B84" s="2"/>
      <c r="C84" s="2"/>
      <c r="D84" s="2"/>
      <c r="E84" s="9" t="s">
        <v>104</v>
      </c>
      <c r="F84" s="2"/>
    </row>
    <row r="85" ht="15.75" customHeight="1">
      <c r="A85" s="2"/>
      <c r="B85" s="2"/>
      <c r="C85" s="2"/>
      <c r="D85" s="2"/>
      <c r="E85" s="9" t="s">
        <v>6</v>
      </c>
      <c r="F85" s="2"/>
    </row>
    <row r="86" ht="15.75" customHeight="1">
      <c r="A86" s="2"/>
      <c r="B86" s="2"/>
      <c r="C86" s="2"/>
      <c r="D86" s="2"/>
      <c r="E86" s="9" t="s">
        <v>78</v>
      </c>
      <c r="F86" s="2"/>
    </row>
    <row r="87" ht="15.75" customHeight="1">
      <c r="A87" s="2"/>
      <c r="B87" s="2"/>
      <c r="C87" s="2"/>
      <c r="D87" s="2"/>
      <c r="E87" s="9" t="s">
        <v>6</v>
      </c>
      <c r="F87" s="2"/>
    </row>
    <row r="88" ht="15.75" customHeight="1">
      <c r="A88" s="2"/>
      <c r="B88" s="2"/>
      <c r="C88" s="2"/>
      <c r="D88" s="2"/>
      <c r="E88" s="9" t="s">
        <v>112</v>
      </c>
      <c r="F88" s="2"/>
    </row>
    <row r="89" ht="15.75" customHeight="1">
      <c r="A89" s="2"/>
      <c r="B89" s="2"/>
      <c r="C89" s="2"/>
      <c r="D89" s="2"/>
      <c r="E89" s="9" t="s">
        <v>6</v>
      </c>
      <c r="F89" s="2"/>
    </row>
    <row r="90" ht="15.75" customHeight="1">
      <c r="A90" s="2"/>
      <c r="B90" s="2"/>
      <c r="C90" s="2"/>
      <c r="D90" s="2"/>
      <c r="E90" s="9" t="s">
        <v>113</v>
      </c>
      <c r="F90" s="2"/>
    </row>
    <row r="91" ht="15.75" customHeight="1">
      <c r="A91" s="2"/>
      <c r="B91" s="2"/>
      <c r="C91" s="2"/>
      <c r="D91" s="2"/>
      <c r="E91" s="9" t="s">
        <v>6</v>
      </c>
      <c r="F91" s="2"/>
    </row>
    <row r="92" ht="15.75" customHeight="1">
      <c r="A92" s="2"/>
      <c r="B92" s="2"/>
      <c r="C92" s="2"/>
      <c r="D92" s="2"/>
      <c r="E92" s="9" t="s">
        <v>91</v>
      </c>
      <c r="F92" s="2"/>
    </row>
    <row r="93" ht="15.75" customHeight="1">
      <c r="A93" s="2"/>
      <c r="B93" s="2"/>
      <c r="C93" s="2"/>
      <c r="D93" s="2"/>
      <c r="E93" s="9" t="s">
        <v>6</v>
      </c>
      <c r="F93" s="2"/>
    </row>
    <row r="94" ht="15.75" customHeight="1">
      <c r="A94" s="2"/>
      <c r="B94" s="2"/>
      <c r="C94" s="2"/>
      <c r="D94" s="2"/>
      <c r="E94" s="9" t="s">
        <v>33</v>
      </c>
      <c r="F94" s="2"/>
    </row>
    <row r="95" ht="15.75" customHeight="1">
      <c r="A95" s="2"/>
      <c r="B95" s="2"/>
      <c r="C95" s="2"/>
      <c r="D95" s="2"/>
      <c r="E95" s="9" t="s">
        <v>6</v>
      </c>
      <c r="F95" s="2"/>
    </row>
    <row r="96" ht="15.75" customHeight="1">
      <c r="A96" s="2"/>
      <c r="B96" s="2"/>
      <c r="C96" s="2"/>
      <c r="D96" s="2"/>
      <c r="E96" s="9" t="s">
        <v>100</v>
      </c>
      <c r="F96" s="2"/>
    </row>
    <row r="97" ht="15.75" customHeight="1">
      <c r="A97" s="2"/>
      <c r="B97" s="2"/>
      <c r="C97" s="2"/>
      <c r="D97" s="2"/>
      <c r="E97" s="9" t="s">
        <v>6</v>
      </c>
      <c r="F97" s="2"/>
    </row>
    <row r="98" ht="15.75" customHeight="1">
      <c r="A98" s="2"/>
      <c r="B98" s="2"/>
      <c r="C98" s="2"/>
      <c r="D98" s="2"/>
      <c r="E98" s="9" t="s">
        <v>83</v>
      </c>
      <c r="F98" s="2"/>
    </row>
    <row r="99" ht="15.75" customHeight="1">
      <c r="A99" s="2"/>
      <c r="B99" s="2"/>
      <c r="C99" s="2"/>
      <c r="D99" s="2"/>
      <c r="E99" s="9" t="s">
        <v>6</v>
      </c>
      <c r="F99" s="2"/>
    </row>
    <row r="100" ht="15.75" customHeight="1">
      <c r="A100" s="2"/>
      <c r="B100" s="2"/>
      <c r="C100" s="2"/>
      <c r="D100" s="2"/>
      <c r="E100" s="9" t="s">
        <v>92</v>
      </c>
      <c r="F100" s="2"/>
    </row>
    <row r="101" ht="15.75" customHeight="1">
      <c r="A101" s="2"/>
      <c r="B101" s="2"/>
      <c r="C101" s="2"/>
      <c r="D101" s="2"/>
      <c r="E101" s="9" t="s">
        <v>6</v>
      </c>
      <c r="F101" s="2"/>
    </row>
    <row r="102" ht="15.75" customHeight="1">
      <c r="A102" s="2"/>
      <c r="B102" s="2"/>
      <c r="C102" s="2"/>
      <c r="D102" s="2"/>
      <c r="E102" s="9" t="s">
        <v>65</v>
      </c>
      <c r="F102" s="2"/>
    </row>
    <row r="103" ht="15.75" customHeight="1">
      <c r="A103" s="2"/>
      <c r="B103" s="2"/>
      <c r="C103" s="2"/>
      <c r="D103" s="2"/>
      <c r="E103" s="9" t="s">
        <v>6</v>
      </c>
      <c r="F103" s="2"/>
    </row>
    <row r="104" ht="15.75" customHeight="1">
      <c r="A104" s="2"/>
      <c r="B104" s="2"/>
      <c r="C104" s="2"/>
      <c r="D104" s="2"/>
      <c r="E104" s="9" t="s">
        <v>44</v>
      </c>
      <c r="F104" s="2"/>
    </row>
    <row r="105" ht="15.75" customHeight="1">
      <c r="A105" s="2"/>
      <c r="B105" s="2"/>
      <c r="C105" s="2"/>
      <c r="D105" s="2"/>
      <c r="E105" s="9" t="s">
        <v>6</v>
      </c>
      <c r="F105" s="2"/>
    </row>
    <row r="106" ht="15.75" customHeight="1">
      <c r="A106" s="2"/>
      <c r="B106" s="2"/>
      <c r="C106" s="2"/>
      <c r="D106" s="2"/>
      <c r="E106" s="9" t="s">
        <v>94</v>
      </c>
      <c r="F106" s="2"/>
    </row>
    <row r="107" ht="15.75" customHeight="1">
      <c r="A107" s="2"/>
      <c r="B107" s="2"/>
      <c r="C107" s="2"/>
      <c r="D107" s="2"/>
      <c r="E107" s="9" t="s">
        <v>6</v>
      </c>
      <c r="F107" s="2"/>
    </row>
    <row r="108" ht="15.75" customHeight="1">
      <c r="A108" s="2"/>
      <c r="B108" s="2"/>
      <c r="C108" s="2"/>
      <c r="D108" s="2"/>
      <c r="E108" s="9" t="s">
        <v>15</v>
      </c>
      <c r="F108" s="2"/>
    </row>
    <row r="109" ht="15.75" customHeight="1">
      <c r="A109" s="2"/>
      <c r="B109" s="2"/>
      <c r="C109" s="2"/>
      <c r="D109" s="2"/>
      <c r="E109" s="9" t="s">
        <v>6</v>
      </c>
      <c r="F109" s="2"/>
    </row>
    <row r="110" ht="15.75" customHeight="1">
      <c r="A110" s="2"/>
      <c r="B110" s="2"/>
      <c r="C110" s="2"/>
      <c r="D110" s="2"/>
      <c r="E110" s="9" t="s">
        <v>39</v>
      </c>
      <c r="F110" s="2"/>
    </row>
    <row r="111" ht="15.75" customHeight="1">
      <c r="A111" s="2"/>
      <c r="B111" s="2"/>
      <c r="C111" s="2"/>
      <c r="D111" s="2"/>
      <c r="E111" s="9" t="s">
        <v>6</v>
      </c>
      <c r="F111" s="2"/>
    </row>
    <row r="112" ht="15.75" customHeight="1">
      <c r="A112" s="2"/>
      <c r="B112" s="2"/>
      <c r="C112" s="2"/>
      <c r="D112" s="2"/>
      <c r="E112" s="9" t="s">
        <v>108</v>
      </c>
      <c r="F112" s="2"/>
    </row>
    <row r="113" ht="15.75" customHeight="1">
      <c r="A113" s="2"/>
      <c r="B113" s="2"/>
      <c r="C113" s="2"/>
      <c r="D113" s="2"/>
      <c r="E113" s="9" t="s">
        <v>6</v>
      </c>
      <c r="F113" s="2"/>
    </row>
    <row r="114" ht="15.75" customHeight="1">
      <c r="A114" s="2"/>
      <c r="B114" s="2"/>
      <c r="C114" s="2"/>
      <c r="D114" s="2"/>
      <c r="E114" s="9" t="s">
        <v>77</v>
      </c>
      <c r="F114" s="2"/>
    </row>
    <row r="115" ht="15.75" customHeight="1">
      <c r="A115" s="2"/>
      <c r="B115" s="2"/>
      <c r="C115" s="2"/>
      <c r="D115" s="2"/>
      <c r="E115" s="9" t="s">
        <v>6</v>
      </c>
      <c r="F115" s="2"/>
    </row>
    <row r="116" ht="15.75" customHeight="1">
      <c r="A116" s="2"/>
      <c r="B116" s="2"/>
      <c r="C116" s="2"/>
      <c r="D116" s="2"/>
      <c r="E116" s="9" t="s">
        <v>93</v>
      </c>
      <c r="F116" s="2"/>
    </row>
    <row r="117" ht="15.75" customHeight="1">
      <c r="A117" s="2"/>
      <c r="B117" s="2"/>
      <c r="C117" s="2"/>
      <c r="D117" s="2"/>
      <c r="E117" s="9" t="s">
        <v>6</v>
      </c>
      <c r="F117" s="2"/>
    </row>
    <row r="118" ht="15.75" customHeight="1">
      <c r="A118" s="2"/>
      <c r="B118" s="2"/>
      <c r="C118" s="2"/>
      <c r="D118" s="2"/>
      <c r="E118" s="9" t="s">
        <v>11</v>
      </c>
      <c r="F118" s="2"/>
    </row>
    <row r="119" ht="15.75" customHeight="1">
      <c r="A119" s="2"/>
      <c r="B119" s="2"/>
      <c r="C119" s="2"/>
      <c r="D119" s="2"/>
      <c r="E119" s="9" t="s">
        <v>6</v>
      </c>
      <c r="F119" s="2"/>
    </row>
    <row r="120" ht="15.75" customHeight="1">
      <c r="A120" s="2"/>
      <c r="B120" s="2"/>
      <c r="C120" s="2"/>
      <c r="D120" s="2"/>
      <c r="E120" s="9" t="s">
        <v>22</v>
      </c>
      <c r="F120" s="2"/>
    </row>
    <row r="121" ht="15.75" customHeight="1">
      <c r="A121" s="2"/>
      <c r="B121" s="2"/>
      <c r="C121" s="2"/>
      <c r="D121" s="2"/>
      <c r="E121" s="9" t="s">
        <v>6</v>
      </c>
      <c r="F121" s="2"/>
    </row>
    <row r="122" ht="15.75" customHeight="1">
      <c r="A122" s="2"/>
      <c r="B122" s="2"/>
      <c r="C122" s="2"/>
      <c r="D122" s="2"/>
      <c r="E122" s="9" t="s">
        <v>75</v>
      </c>
      <c r="F122" s="2"/>
    </row>
    <row r="123" ht="15.75" customHeight="1">
      <c r="A123" s="2"/>
      <c r="B123" s="2"/>
      <c r="C123" s="2"/>
      <c r="D123" s="2"/>
      <c r="E123" s="9" t="s">
        <v>6</v>
      </c>
      <c r="F123" s="2"/>
    </row>
    <row r="124" ht="15.75" customHeight="1">
      <c r="A124" s="2"/>
      <c r="B124" s="2"/>
      <c r="C124" s="2"/>
      <c r="D124" s="2"/>
      <c r="E124" s="9" t="s">
        <v>86</v>
      </c>
      <c r="F124" s="2"/>
    </row>
    <row r="125" ht="15.75" customHeight="1">
      <c r="A125" s="2"/>
      <c r="B125" s="2"/>
      <c r="C125" s="2"/>
      <c r="D125" s="2"/>
      <c r="E125" s="9" t="s">
        <v>6</v>
      </c>
      <c r="F125" s="2"/>
    </row>
    <row r="126" ht="15.75" customHeight="1">
      <c r="A126" s="2"/>
      <c r="B126" s="2"/>
      <c r="C126" s="2"/>
      <c r="D126" s="2"/>
      <c r="E126" s="9" t="s">
        <v>105</v>
      </c>
      <c r="F126" s="2"/>
    </row>
    <row r="127" ht="15.75" customHeight="1">
      <c r="A127" s="2"/>
      <c r="B127" s="2"/>
      <c r="C127" s="2"/>
      <c r="D127" s="2"/>
      <c r="E127" s="9" t="s">
        <v>6</v>
      </c>
      <c r="F127" s="2"/>
    </row>
    <row r="128" ht="15.75" customHeight="1">
      <c r="A128" s="2"/>
      <c r="B128" s="2"/>
      <c r="C128" s="2"/>
      <c r="D128" s="2"/>
      <c r="E128" s="9" t="s">
        <v>97</v>
      </c>
      <c r="F128" s="2"/>
    </row>
    <row r="129" ht="15.75" customHeight="1">
      <c r="A129" s="2"/>
      <c r="B129" s="2"/>
      <c r="C129" s="2"/>
      <c r="D129" s="2"/>
      <c r="E129" s="9" t="s">
        <v>6</v>
      </c>
      <c r="F129" s="2"/>
    </row>
    <row r="130" ht="15.75" customHeight="1">
      <c r="A130" s="2"/>
      <c r="B130" s="2"/>
      <c r="C130" s="2"/>
      <c r="D130" s="2"/>
      <c r="E130" s="9" t="s">
        <v>60</v>
      </c>
      <c r="F130" s="2"/>
    </row>
    <row r="131" ht="15.75" customHeight="1">
      <c r="A131" s="2"/>
      <c r="B131" s="2"/>
      <c r="C131" s="2"/>
      <c r="D131" s="2"/>
      <c r="E131" s="9" t="s">
        <v>6</v>
      </c>
      <c r="F131" s="2"/>
    </row>
    <row r="132" ht="15.75" customHeight="1">
      <c r="A132" s="2"/>
      <c r="B132" s="2"/>
      <c r="C132" s="2"/>
      <c r="D132" s="2"/>
      <c r="E132" s="9" t="s">
        <v>51</v>
      </c>
      <c r="F132" s="2"/>
    </row>
    <row r="133" ht="15.75" customHeight="1">
      <c r="A133" s="2"/>
      <c r="B133" s="2"/>
      <c r="C133" s="2"/>
      <c r="D133" s="2"/>
      <c r="E133" s="9" t="s">
        <v>6</v>
      </c>
      <c r="F133" s="2"/>
    </row>
    <row r="134" ht="15.75" customHeight="1">
      <c r="A134" s="2"/>
      <c r="B134" s="2"/>
      <c r="C134" s="2"/>
      <c r="D134" s="2"/>
      <c r="E134" s="9" t="s">
        <v>81</v>
      </c>
      <c r="F134" s="2"/>
    </row>
    <row r="135" ht="15.75" customHeight="1">
      <c r="A135" s="2"/>
      <c r="B135" s="2"/>
      <c r="C135" s="2"/>
      <c r="D135" s="2"/>
      <c r="E135" s="9" t="s">
        <v>6</v>
      </c>
      <c r="F135" s="2"/>
    </row>
    <row r="136" ht="15.75" customHeight="1">
      <c r="A136" s="2"/>
      <c r="B136" s="2"/>
      <c r="C136" s="2"/>
      <c r="D136" s="2"/>
      <c r="E136" s="9" t="s">
        <v>88</v>
      </c>
      <c r="F136" s="2"/>
    </row>
    <row r="137" ht="15.75" customHeight="1">
      <c r="A137" s="2"/>
      <c r="B137" s="2"/>
      <c r="C137" s="2"/>
      <c r="D137" s="2"/>
      <c r="E137" s="9" t="s">
        <v>6</v>
      </c>
      <c r="F137" s="2"/>
    </row>
    <row r="138" ht="15.75" customHeight="1">
      <c r="A138" s="2"/>
      <c r="B138" s="2"/>
      <c r="C138" s="2"/>
      <c r="D138" s="2"/>
      <c r="E138" s="9" t="s">
        <v>29</v>
      </c>
      <c r="F138" s="2"/>
    </row>
    <row r="139" ht="15.75" customHeight="1">
      <c r="A139" s="2"/>
      <c r="B139" s="2"/>
      <c r="C139" s="2"/>
      <c r="D139" s="2"/>
      <c r="E139" s="9" t="s">
        <v>6</v>
      </c>
      <c r="F139" s="2"/>
    </row>
    <row r="140" ht="15.75" customHeight="1">
      <c r="A140" s="2"/>
      <c r="B140" s="2"/>
      <c r="C140" s="2"/>
      <c r="D140" s="2"/>
      <c r="E140" s="9" t="s">
        <v>99</v>
      </c>
      <c r="F140" s="2"/>
    </row>
    <row r="141" ht="15.75" customHeight="1">
      <c r="A141" s="2"/>
      <c r="B141" s="2"/>
      <c r="C141" s="2"/>
      <c r="D141" s="2"/>
      <c r="E141" s="9" t="s">
        <v>6</v>
      </c>
      <c r="F141" s="2"/>
    </row>
    <row r="142" ht="15.75" customHeight="1">
      <c r="A142" s="2"/>
      <c r="B142" s="2"/>
      <c r="C142" s="2"/>
      <c r="D142" s="2"/>
      <c r="E142" s="9" t="s">
        <v>107</v>
      </c>
      <c r="F142" s="2"/>
    </row>
    <row r="143" ht="15.75" customHeight="1">
      <c r="A143" s="2"/>
      <c r="B143" s="2"/>
      <c r="C143" s="2"/>
      <c r="D143" s="2"/>
      <c r="E143" s="9" t="s">
        <v>6</v>
      </c>
      <c r="F143" s="2"/>
    </row>
    <row r="144" ht="15.75" customHeight="1">
      <c r="A144" s="2"/>
      <c r="B144" s="2"/>
      <c r="C144" s="2"/>
      <c r="D144" s="2"/>
      <c r="E144" s="9" t="s">
        <v>110</v>
      </c>
      <c r="F144" s="2"/>
    </row>
    <row r="145" ht="15.75" customHeight="1">
      <c r="A145" s="2"/>
      <c r="B145" s="2"/>
      <c r="C145" s="2"/>
      <c r="D145" s="2"/>
      <c r="E145" s="9" t="s">
        <v>6</v>
      </c>
      <c r="F145" s="2"/>
    </row>
    <row r="146" ht="15.75" customHeight="1">
      <c r="A146" s="2"/>
      <c r="B146" s="2"/>
      <c r="C146" s="2"/>
      <c r="D146" s="2"/>
      <c r="E146" s="9" t="s">
        <v>72</v>
      </c>
      <c r="F146" s="2"/>
    </row>
    <row r="147" ht="15.75" customHeight="1">
      <c r="A147" s="2"/>
      <c r="B147" s="2"/>
      <c r="C147" s="2"/>
      <c r="D147" s="2"/>
      <c r="E147" s="9" t="s">
        <v>6</v>
      </c>
      <c r="F147" s="2"/>
    </row>
    <row r="148" ht="15.75" customHeight="1">
      <c r="A148" s="2"/>
      <c r="B148" s="2"/>
      <c r="C148" s="2"/>
      <c r="D148" s="2"/>
      <c r="E148" s="9" t="s">
        <v>58</v>
      </c>
      <c r="F148" s="2"/>
    </row>
    <row r="149" ht="15.75" customHeight="1">
      <c r="A149" s="2"/>
      <c r="B149" s="2"/>
      <c r="C149" s="2"/>
      <c r="D149" s="2"/>
      <c r="E149" s="9" t="s">
        <v>6</v>
      </c>
      <c r="F149" s="2"/>
    </row>
    <row r="150" ht="15.75" customHeight="1">
      <c r="A150" s="2"/>
      <c r="B150" s="2"/>
      <c r="C150" s="2"/>
      <c r="D150" s="2"/>
      <c r="E150" s="9" t="s">
        <v>103</v>
      </c>
      <c r="F150" s="2"/>
    </row>
    <row r="151" ht="15.75" customHeight="1">
      <c r="A151" s="2"/>
      <c r="B151" s="2"/>
      <c r="C151" s="2"/>
      <c r="D151" s="2"/>
      <c r="E151" s="9" t="s">
        <v>6</v>
      </c>
      <c r="F151" s="2"/>
    </row>
    <row r="152" ht="15.75" customHeight="1">
      <c r="A152" s="2"/>
      <c r="B152" s="2"/>
      <c r="C152" s="2"/>
      <c r="D152" s="2"/>
      <c r="E152" s="9" t="s">
        <v>114</v>
      </c>
      <c r="F152" s="2"/>
    </row>
    <row r="153" ht="15.75" customHeight="1">
      <c r="A153" s="2"/>
      <c r="B153" s="2"/>
      <c r="C153" s="2"/>
      <c r="D153" s="2"/>
      <c r="F153" s="2"/>
    </row>
    <row r="154" ht="15.75" customHeight="1">
      <c r="A154" s="2"/>
      <c r="B154" s="2"/>
      <c r="C154" s="2"/>
      <c r="D154" s="2"/>
      <c r="F154" s="2"/>
    </row>
    <row r="155" ht="15.75" customHeight="1">
      <c r="A155" s="2"/>
      <c r="B155" s="2"/>
      <c r="C155" s="2"/>
      <c r="D155" s="2"/>
      <c r="F155" s="2"/>
    </row>
    <row r="156" ht="15.75" customHeight="1">
      <c r="A156" s="2"/>
      <c r="B156" s="2"/>
      <c r="C156" s="2"/>
      <c r="D156" s="2"/>
      <c r="F156" s="2"/>
    </row>
    <row r="157" ht="15.75" customHeight="1">
      <c r="A157" s="2"/>
      <c r="B157" s="2"/>
      <c r="C157" s="2"/>
      <c r="D157" s="2"/>
      <c r="F157" s="2"/>
    </row>
    <row r="158" ht="15.75" customHeight="1">
      <c r="A158" s="2"/>
      <c r="B158" s="2"/>
      <c r="C158" s="2"/>
      <c r="D158" s="2"/>
      <c r="F158" s="2"/>
    </row>
    <row r="159" ht="15.75" customHeight="1">
      <c r="A159" s="2"/>
      <c r="B159" s="2"/>
      <c r="C159" s="2"/>
      <c r="D159" s="2"/>
      <c r="F159" s="2"/>
    </row>
    <row r="160" ht="15.75" customHeight="1">
      <c r="A160" s="2"/>
      <c r="B160" s="2"/>
      <c r="C160" s="2"/>
      <c r="D160" s="2"/>
      <c r="F160" s="2"/>
    </row>
    <row r="161" ht="15.75" customHeight="1">
      <c r="A161" s="2"/>
      <c r="B161" s="2"/>
      <c r="C161" s="2"/>
      <c r="D161" s="2"/>
      <c r="F161" s="2"/>
    </row>
    <row r="162" ht="15.75" customHeight="1">
      <c r="A162" s="2"/>
      <c r="B162" s="2"/>
      <c r="C162" s="2"/>
      <c r="D162" s="2"/>
      <c r="F162" s="2"/>
    </row>
    <row r="163" ht="15.75" customHeight="1">
      <c r="A163" s="2"/>
      <c r="B163" s="2"/>
      <c r="C163" s="2"/>
      <c r="D163" s="2"/>
      <c r="F163" s="2"/>
    </row>
    <row r="164" ht="15.75" customHeight="1">
      <c r="A164" s="2"/>
      <c r="B164" s="2"/>
      <c r="C164" s="2"/>
      <c r="D164" s="2"/>
      <c r="F164" s="2"/>
    </row>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75">
    <filterColumn colId="1">
      <filters>
        <filter val="No-funcionales"/>
      </filters>
    </filterColumn>
  </autoFilter>
  <mergeCells count="9">
    <mergeCell ref="I19:I20"/>
    <mergeCell ref="S57:S74"/>
    <mergeCell ref="H2:J3"/>
    <mergeCell ref="H5:I5"/>
    <mergeCell ref="H11:I11"/>
    <mergeCell ref="H16:I16"/>
    <mergeCell ref="G17:G18"/>
    <mergeCell ref="G19:G20"/>
    <mergeCell ref="H22:I22"/>
  </mergeCells>
  <hyperlinks>
    <hyperlink display="Ir a la hoja →" location="Estadisticas!A1" ref="C2"/>
    <hyperlink r:id="rId1" ref="H2"/>
    <hyperlink display="Ir a la hoja →" location="'Funcionales generales'!A1" ref="C3"/>
    <hyperlink display="Ir a la hoja →" location="'No-funcionales generales'!A1" ref="C4"/>
    <hyperlink display="Ir a la hoja →" location="'Funcionales DB'!A1" ref="C5"/>
    <hyperlink display="Ir a la hoja →" location="'No-funcionales DB'!A1" ref="C6"/>
    <hyperlink display="Ir a la hoja →" location="'Funcionales Homepage'!A1" ref="C7"/>
    <hyperlink display="Ir a la hoja →" location="'No-funcionales Homepage'!A1" ref="C8"/>
    <hyperlink display="Ir a la hoja →" location="'Funcionales Productos'!A1" ref="C9"/>
    <hyperlink display="Ir a la hoja →" location="'No-funcionales Productos'!A1" ref="C10"/>
    <hyperlink display="Ir a la hoja →" location="'Funcionales Categoria'!A1" ref="C11"/>
    <hyperlink display="Ir a la hoja →" location="'No-funcionales Categoria'!A1" ref="C12"/>
    <hyperlink display="Ir a la hoja →" location="'Funcionales Descuentos'!A1" ref="C13"/>
    <hyperlink display="Ir a la hoja →" location="'No-funcionales Descuentos'!A1" ref="C14"/>
    <hyperlink display="Ir a la hoja →" location="'Funcionales Cookies'!A1" ref="C15"/>
    <hyperlink display="Ir a la hoja →" location="'No-funcionales Cookies'!A1" ref="C16"/>
    <hyperlink display="Ir a la hoja →" location="'Funcionales Politicas'!A1" ref="C17"/>
    <hyperlink r:id="rId2" ref="I17"/>
    <hyperlink display="Ir a la hoja →" location="'No-funcionales Politicas'!A1" ref="C18"/>
    <hyperlink display="Ir a la hoja →" location="'Funcionales Terminos condicione'!A1" ref="C19"/>
    <hyperlink display="Ir a la hoja →" location="'No-funcionales Terminos Condici'!A1" ref="C20"/>
    <hyperlink display="Ir a la hoja →" location="'Funcionales Perfil'!A1" ref="C21"/>
    <hyperlink display="Ir a la hoja →" location="'No-funcionales Perfil'!A1" ref="C22"/>
    <hyperlink display="Ir a la hoja →" location="'Funcionales Contacto'!A1" ref="C23"/>
    <hyperlink display="Ir a la hoja →" location="'No-funcionales Contacto'!A1" ref="C24"/>
    <hyperlink display="Ir a la hoja →" location="'Funcionales Seguimiento'!A1" ref="C25"/>
    <hyperlink display="Ir a la hoja →" location="'No-Funcionales Seguimiento'!A1" ref="C26"/>
    <hyperlink display="Ir a la hoja →" location="'Funcionales Inversionistas'!A1" ref="C27"/>
    <hyperlink display="Ir a la hoja →" location="'No-funcionales Inversionistas'!A1" ref="C28"/>
    <hyperlink display="Ir a la hoja →" location="'Funcionales Devoluciones'!A1" ref="C29"/>
    <hyperlink display="Ir a la hoja →" location="'No-funcionales Devoluciones'!A1" ref="C30"/>
    <hyperlink display="Ir a la hoja →" location="'Funcionales Ayuda'!A1" ref="C31"/>
    <hyperlink display="Ir a la hoja →" location="'No-funcionales Ayuda'!A1" ref="C32"/>
    <hyperlink display="Ir a la hoja →" location="'Funcionales Prensa'!A1" ref="C33"/>
    <hyperlink display="Ir a la hoja →" location="'No-funcionales Prensa'!A1" ref="C34"/>
    <hyperlink display="Ir a la hoja →" location="'Funcionales Acerca de'!A1" ref="C35"/>
    <hyperlink display="Ir a la hoja →" location="'No-funcionales Acerca de'!A1" ref="C36"/>
    <hyperlink display="Ir a la hoja →" location="'Funcionales chatbotInformativo'!A1" ref="C37"/>
    <hyperlink display="Ir a la hoja →" location="'No-funcionales chatbotInformati'!A1" ref="C38"/>
    <hyperlink display="Ir a la hoja →" location="'Funcionales LoginRegister'!A1" ref="C39"/>
    <hyperlink display="Ir a la hoja →" location="'No-funcionales LoginRegister'!A1" ref="C40"/>
    <hyperlink display="Ir a la hoja →" location="'Funcionales Producto'!A1" ref="C41"/>
    <hyperlink display="Ir a la hoja →" location="'No-funcionales Producto'!A1" ref="C42"/>
    <hyperlink display="Ir a la hoja →" location="input_req!A1" ref="C43"/>
    <hyperlink display="Ir a la hoja →" location="'Funcionales Carrito'!A1" ref="C44"/>
    <hyperlink display="Ir a la hoja →" location="'No-funcionales Carrito'!A1" ref="C45"/>
    <hyperlink display="Ir a la hoja →" location="'Funcionales Checkout'!A1" ref="C46"/>
    <hyperlink display="Ir a la hoja →" location="'No-funcionales Checkout '!A1" ref="C47"/>
    <hyperlink display="Ir a la hoja →" location="'Funcionales Favoritos'!A1" ref="C48"/>
    <hyperlink display="Ir a la hoja →" location="'No-funcionales Favoritos'!A1" ref="C49"/>
    <hyperlink display="Ir a la hoja →" location="'Funcionales Dashboard Admin'!A1" ref="C50"/>
    <hyperlink display="Ir a la hoja →" location="'No-funcionales Dashboard Admin'!A1" ref="C51"/>
    <hyperlink display="Ir a la hoja →" location="'Funcionales Ordenes admin'!A1" ref="C52"/>
    <hyperlink display="Ir a la hoja →" location="'No-funcionales Ordenes admin'!A1" ref="C53"/>
    <hyperlink display="Ir a la hoja →" location="'Funcionales Productos Admin'!A1" ref="C54"/>
    <hyperlink display="Ir a la hoja →" location="'No-funcionales Productos Admin '!A1" ref="C55"/>
    <hyperlink display="Ir a la hoja →" location="'Funcionales Categorías Admin'!A1" ref="C56"/>
    <hyperlink display="Ir a la hoja →" location="'No-funcionales Categorias Admin'!A1" ref="C57"/>
    <hyperlink display="Ir a la hoja →" location="'Funcionales Usuario Admin'!A1" ref="C58"/>
    <hyperlink display="Ir a la hoja →" location="'No-funcionales Usuarios Admin'!A1" ref="C59"/>
    <hyperlink display="Ir a la hoja →" location="'Funcionales Atributos'!A1" ref="C60"/>
    <hyperlink display="Ir a la hoja →" location="'No-funcionales Atributos'!A1" ref="C61"/>
    <hyperlink display="Ir a la hoja →" location="'Funcionales Marcas'!A1" ref="C62"/>
    <hyperlink display="Ir a la hoja →" location="'No-funcionales Marcas '!A1" ref="C63"/>
    <hyperlink display="Ir a la hoja →" location="'Funcionales Proveedores Admin'!A1" ref="C64"/>
    <hyperlink display="Ir a la hoja →" location="'No-funcionales Proveedores Admi'!A1" ref="C65"/>
    <hyperlink display="Ir a la hoja →" location="'Funcionales Descuentos Admin'!A1" ref="C66"/>
    <hyperlink display="Ir a la hoja →" location="'No-funcionales Descuentos Admin'!A1" ref="C67"/>
    <hyperlink display="Ir a la hoja →" location="'Funcionales Puntos Admin'!A1" ref="C68"/>
    <hyperlink display="Ir a la hoja →" location="'No-funcionales Puntos Admin'!A1" ref="C69"/>
    <hyperlink display="Ir a la hoja →" location="'Funcionales barra informativa '!A1" ref="C70"/>
    <hyperlink display="Ir a la hoja →" location="'No-funcionales barra informativ'!A1" ref="C71"/>
    <hyperlink display="Ir a la hoja →" location="'Funcionales Bot-Admin'!A1" ref="C72"/>
    <hyperlink display="Ir a la hoja →" location="'No-funcionales Bot-Admin'!A1" ref="C73"/>
    <hyperlink display="Ir a la hoja →" location="'Funcionales Boton Ayuda'!A1" ref="C74"/>
    <hyperlink display="Ir a la hoja →" location="'No-funcionales Boton Ayuda'!A1" ref="C75"/>
  </hyperlinks>
  <printOptions/>
  <pageMargins bottom="0.75" footer="0.0" header="0.0" left="0.7" right="0.7" top="0.75"/>
  <pageSetup orientation="landscape"/>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57"/>
    <col customWidth="1" min="2" max="2" width="13.29"/>
    <col customWidth="1" min="3" max="26" width="8.71"/>
  </cols>
  <sheetData>
    <row r="1">
      <c r="A1" s="22" t="s">
        <v>115</v>
      </c>
      <c r="B1" s="22" t="s">
        <v>116</v>
      </c>
    </row>
    <row r="2">
      <c r="A2" s="23" t="s">
        <v>117</v>
      </c>
      <c r="B2" s="24">
        <f>'Funcionales generales'!L3+'Funcionales DB'!L3+'Funcionales Homepage'!L3+'Funcionales Productos'!L3+'Funcionales Categoria'!L3+'Funcionales Descuentos'!L3+'Funcionales Cookies'!L3+'Funcionales Politicas'!L3+'Funcionales Terminos condicione'!L3+'Funcionales Perfil'!L3+'Funcionales Contacto'!L3+'Funcionales Seguimiento'!L3+'Funcionales Inversionistas'!L3+'Funcionales Devoluciones'!L3+'Funcionales Ayuda'!L3+'Funcionales Prensa'!L3+'Funcionales Acerca de'!L3+'Funcionales chatbotInformativo'!L3+'Funcionales LoginRegister'!L3+'Funcionales Producto'!L3+'Funcionales Carrito'!L3+'Funcionales Checkout'!L3+'Funcionales Favoritos'!L3+'Funcionales Dashboard Admin'!L3+'Funcionales Ordenes admin'!L3+'Funcionales Productos Admin'!L3+'Funcionales Categorías Admin'!L3+'Funcionales Usuario Admin'!L3+'Funcionales Atributos'!L3+'Funcionales Marcas'!L3+'Funcionales Proveedores Admin'!L3+'Funcionales Descuentos Admin'!L3+'Funcionales Puntos Admin'!L3+'Funcionales barra informativa '!L3+'No-funcionales barra informativ'!L3+'Funcionales Bot-Admin'!L3+'Funcionales Boton Ayuda'!L3</f>
        <v>490</v>
      </c>
    </row>
    <row r="3">
      <c r="A3" s="23" t="s">
        <v>118</v>
      </c>
      <c r="B3" s="24">
        <f>'No-funcionales generales'!L3+'No-funcionales DB'!L3+'No-funcionales Homepage'!L3+'No-funcionales Productos'!L3+'No-funcionales Categoria'!L3+'No-funcionales Descuentos'!L3+'No-funcionales Cookies'!L3+'No-funcionales Politicas'!L3+'No-funcionales Terminos Condici'!L3+'No-funcionales Perfil'!L3+'No-funcionales Contacto'!L3+'No-Funcionales Seguimiento'!L3+'No-funcionales Inversionistas'!L3+'No-funcionales Devoluciones'!L3+'No-funcionales Ayuda'!L3+'No-funcionales Prensa'!L3+'No-funcionales Acerca de'!L3+'No-funcionales chatbotInformati'!L3+'No-funcionales LoginRegister'!L3+'No-funcionales Producto'!L3+'No-funcionales Carrito'!L3+'No-funcionales Checkout '!L3+'No-funcionales Favoritos'!L3+'No-funcionales Dashboard Admin'!L3+'No-funcionales Ordenes admin'!L3+'No-funcionales Productos Admin '!L3+'No-funcionales Categorias Admin'!L3+'No-funcionales Usuarios Admin'!L3+'No-funcionales Atributos'!L3+'No-funcionales Marcas '!L3+'No-funcionales Proveedores Admi'!L3+'No-funcionales Descuentos Admin'!L3+'No-funcionales Puntos Admin'!L3+'No-funcionales Bot-Admin'!L3+'No-funcionales Boton Ayuda'!L3</f>
        <v>815</v>
      </c>
    </row>
    <row r="4">
      <c r="A4" s="23" t="s">
        <v>119</v>
      </c>
      <c r="B4" s="24">
        <f>B2+B3</f>
        <v>1305</v>
      </c>
    </row>
    <row r="5">
      <c r="A5" s="23" t="s">
        <v>120</v>
      </c>
      <c r="B5" s="24">
        <f>'Funcionales generales'!L4+'Funcionales DB'!L4+'Funcionales Homepage'!L4+'Funcionales Productos'!L4+'Funcionales Categoria'!L4+'Funcionales Descuentos'!L4+'Funcionales Cookies'!L4+'Funcionales Politicas'!L4+'Funcionales Terminos condicione'!L4+'Funcionales Perfil'!L4+'Funcionales Contacto'!L4+'Funcionales Seguimiento'!L4+'Funcionales Inversionistas'!L4+'Funcionales Devoluciones'!L4+'Funcionales Ayuda'!L4+'Funcionales Prensa'!L4+'Funcionales Acerca de'!L4+'Funcionales chatbotInformativo'!L4+'Funcionales LoginRegister'!L4+'Funcionales Producto'!L4+'Funcionales Carrito'!L4+'Funcionales Checkout'!L4+'Funcionales Favoritos'!L4+'Funcionales Dashboard Admin'!L4+'Funcionales Ordenes admin'!L4+'Funcionales Productos Admin'!L4+'Funcionales Categorías Admin'!L4+'Funcionales Usuario Admin'!L4+'Funcionales Atributos'!L4+'Funcionales Marcas'!L4+'Funcionales Proveedores Admin'!L4+'Funcionales Descuentos Admin'!L4+'Funcionales Puntos Admin'!L4+'Funcionales barra informativa '!L4+'No-funcionales barra informativ'!L4+'Funcionales Bot-Admin'!L4+'Funcionales Boton Ayuda'!L4</f>
        <v>485</v>
      </c>
    </row>
    <row r="6">
      <c r="A6" s="23" t="s">
        <v>121</v>
      </c>
      <c r="B6" s="24">
        <f>'No-funcionales generales'!L4+'No-funcionales DB'!L4+'No-funcionales Homepage'!L4+'No-funcionales Productos'!L4+'No-funcionales Categoria'!L4+'No-funcionales Descuentos'!L4+'No-funcionales Cookies'!L4+'No-funcionales Politicas'!L4+'No-funcionales Terminos Condici'!L4+'No-funcionales Perfil'!L4+'No-funcionales Contacto'!L4+'No-Funcionales Seguimiento'!L4+'No-funcionales Inversionistas'!L4+'No-funcionales Devoluciones'!L4+'No-funcionales Ayuda'!L4+'No-funcionales Prensa'!L4+'No-funcionales Acerca de'!L4+'No-funcionales chatbotInformati'!L4+'No-funcionales LoginRegister'!L4+'No-funcionales Producto'!L4+'No-funcionales Carrito'!L4+'No-funcionales Checkout '!L4+'No-funcionales Favoritos'!L4+'No-funcionales Dashboard Admin'!L4+'No-funcionales Ordenes admin'!L4+'No-funcionales Productos Admin '!L4+'No-funcionales Categorias Admin'!L4+'No-funcionales Usuarios Admin'!L4+'No-funcionales Atributos'!L4+'No-funcionales Marcas '!L4+'No-funcionales Proveedores Admi'!L4+'No-funcionales Descuentos Admin'!L4+'No-funcionales Puntos Admin'!L4+'No-funcionales Bot-Admin'!L4+'No-funcionales Boton Ayuda'!L4</f>
        <v>815</v>
      </c>
    </row>
    <row r="7">
      <c r="A7" s="23" t="s">
        <v>122</v>
      </c>
      <c r="B7" s="24">
        <f>B5+B6</f>
        <v>1300</v>
      </c>
    </row>
    <row r="8">
      <c r="A8" s="23" t="s">
        <v>123</v>
      </c>
      <c r="B8" s="25">
        <f>IF(B4=0, 0, B7/B4)</f>
        <v>0.9961685824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75623"/>
    <pageSetUpPr/>
  </sheetPr>
  <sheetViews>
    <sheetView workbookViewId="0"/>
  </sheetViews>
  <sheetFormatPr customHeight="1" defaultColWidth="14.43" defaultRowHeight="15.0"/>
  <cols>
    <col customWidth="1" min="1" max="1" width="8.71"/>
    <col customWidth="1" min="2" max="2" width="4.57"/>
    <col customWidth="1" min="3" max="3" width="8.71"/>
    <col customWidth="1" min="4" max="4" width="110.57"/>
    <col customWidth="1" min="5" max="8" width="8.71"/>
    <col customWidth="1" min="9" max="9" width="52.0"/>
    <col customWidth="1" min="10" max="10" width="8.71"/>
    <col customWidth="1" min="11" max="11" width="14.14"/>
    <col customWidth="1" min="12" max="26" width="8.71"/>
  </cols>
  <sheetData>
    <row r="1" ht="37.5" customHeight="1"/>
    <row r="2" ht="37.5" customHeight="1">
      <c r="B2" s="26" t="s">
        <v>124</v>
      </c>
      <c r="C2" s="27"/>
      <c r="D2" s="27"/>
      <c r="E2" s="27"/>
      <c r="F2" s="27"/>
      <c r="G2" s="27"/>
      <c r="H2" s="27"/>
      <c r="I2" s="27"/>
      <c r="K2" s="28" t="s">
        <v>125</v>
      </c>
      <c r="L2" s="29"/>
    </row>
    <row r="3" ht="37.5" customHeight="1">
      <c r="B3" s="30"/>
      <c r="C3" s="30"/>
      <c r="D3" s="30"/>
      <c r="K3" s="31" t="s">
        <v>126</v>
      </c>
      <c r="L3" s="32">
        <f>COUNT(B12:D86)</f>
        <v>26</v>
      </c>
    </row>
    <row r="4" ht="37.5" customHeight="1">
      <c r="B4" s="33" t="s">
        <v>127</v>
      </c>
      <c r="C4" s="34" t="s">
        <v>128</v>
      </c>
      <c r="K4" s="31" t="s">
        <v>129</v>
      </c>
      <c r="L4" s="32">
        <f>COUNTIF(F12:F86,"X")</f>
        <v>26</v>
      </c>
    </row>
    <row r="5" ht="37.5" customHeight="1">
      <c r="B5" s="33" t="s">
        <v>130</v>
      </c>
      <c r="C5" s="34" t="s">
        <v>131</v>
      </c>
    </row>
    <row r="6" ht="37.5" customHeight="1">
      <c r="B6" s="33" t="s">
        <v>132</v>
      </c>
      <c r="C6" s="34" t="s">
        <v>133</v>
      </c>
      <c r="K6" s="31" t="s">
        <v>134</v>
      </c>
      <c r="L6" s="35" t="str">
        <f>PERCENTOF(L4,L3)</f>
        <v>#NAME?</v>
      </c>
    </row>
    <row r="7" ht="37.5" customHeight="1">
      <c r="B7" s="36" t="s">
        <v>135</v>
      </c>
      <c r="D7" s="34" t="s">
        <v>136</v>
      </c>
    </row>
    <row r="8" ht="37.5" customHeight="1"/>
    <row r="9" ht="37.5" customHeight="1">
      <c r="F9" s="37" t="s">
        <v>137</v>
      </c>
      <c r="G9" s="38"/>
      <c r="H9" s="39"/>
      <c r="I9" s="40" t="s">
        <v>138</v>
      </c>
    </row>
    <row r="10" ht="37.5" customHeight="1">
      <c r="B10" s="41" t="s">
        <v>139</v>
      </c>
      <c r="C10" s="42"/>
      <c r="D10" s="29"/>
      <c r="E10" s="43"/>
      <c r="F10" s="44" t="s">
        <v>127</v>
      </c>
      <c r="G10" s="45" t="s">
        <v>130</v>
      </c>
      <c r="H10" s="45" t="s">
        <v>132</v>
      </c>
      <c r="I10" s="46"/>
      <c r="K10" s="47"/>
    </row>
    <row r="11" ht="37.5" customHeight="1">
      <c r="B11" s="48"/>
      <c r="C11" s="49"/>
      <c r="D11" s="50"/>
      <c r="I11" s="51"/>
    </row>
    <row r="12" ht="37.5" customHeight="1">
      <c r="B12" s="52">
        <v>1.0</v>
      </c>
      <c r="C12" s="53" t="s">
        <v>140</v>
      </c>
      <c r="D12" s="11"/>
      <c r="E12" s="54"/>
      <c r="F12" s="55" t="s">
        <v>141</v>
      </c>
      <c r="G12" s="55"/>
      <c r="H12" s="55"/>
      <c r="I12" s="31"/>
    </row>
    <row r="13" ht="37.5" customHeight="1">
      <c r="B13" s="52">
        <v>2.0</v>
      </c>
      <c r="C13" s="56" t="s">
        <v>142</v>
      </c>
      <c r="D13" s="11"/>
      <c r="E13" s="54"/>
      <c r="F13" s="55" t="s">
        <v>141</v>
      </c>
      <c r="G13" s="55"/>
      <c r="H13" s="55"/>
      <c r="I13" s="31"/>
    </row>
    <row r="14" ht="37.5" customHeight="1">
      <c r="B14" s="52">
        <v>3.0</v>
      </c>
      <c r="C14" s="57" t="s">
        <v>143</v>
      </c>
      <c r="D14" s="11"/>
      <c r="E14" s="54"/>
      <c r="F14" s="55" t="s">
        <v>141</v>
      </c>
      <c r="G14" s="55"/>
      <c r="H14" s="55"/>
      <c r="I14" s="31"/>
    </row>
    <row r="15" ht="37.5" customHeight="1">
      <c r="B15" s="52">
        <v>4.0</v>
      </c>
      <c r="C15" s="56" t="s">
        <v>144</v>
      </c>
      <c r="D15" s="11"/>
      <c r="E15" s="54"/>
      <c r="F15" s="55" t="s">
        <v>141</v>
      </c>
      <c r="G15" s="55"/>
      <c r="H15" s="55"/>
      <c r="I15" s="31"/>
    </row>
    <row r="16" ht="37.5" customHeight="1">
      <c r="B16" s="52">
        <v>5.0</v>
      </c>
      <c r="C16" s="58" t="s">
        <v>145</v>
      </c>
      <c r="D16" s="11"/>
      <c r="E16" s="54"/>
      <c r="F16" s="55" t="s">
        <v>141</v>
      </c>
      <c r="G16" s="55"/>
      <c r="H16" s="55"/>
      <c r="I16" s="31"/>
    </row>
    <row r="17" ht="37.5" customHeight="1">
      <c r="B17" s="52">
        <v>6.0</v>
      </c>
      <c r="C17" s="58" t="s">
        <v>146</v>
      </c>
      <c r="D17" s="11"/>
      <c r="F17" s="55" t="s">
        <v>141</v>
      </c>
      <c r="G17" s="55"/>
      <c r="H17" s="55"/>
      <c r="I17" s="31"/>
    </row>
    <row r="18" ht="37.5" customHeight="1">
      <c r="B18" s="52">
        <v>7.0</v>
      </c>
      <c r="C18" s="58" t="s">
        <v>147</v>
      </c>
      <c r="D18" s="11"/>
      <c r="F18" s="55" t="s">
        <v>141</v>
      </c>
      <c r="G18" s="55"/>
      <c r="H18" s="55"/>
      <c r="I18" s="31"/>
    </row>
    <row r="19" ht="37.5" customHeight="1">
      <c r="B19" s="52">
        <v>8.0</v>
      </c>
      <c r="C19" s="58" t="s">
        <v>148</v>
      </c>
      <c r="D19" s="11"/>
      <c r="F19" s="55" t="s">
        <v>141</v>
      </c>
      <c r="G19" s="55"/>
      <c r="H19" s="55"/>
      <c r="I19" s="31"/>
    </row>
    <row r="20" ht="37.5" customHeight="1">
      <c r="B20" s="52">
        <v>9.0</v>
      </c>
      <c r="C20" s="59" t="s">
        <v>149</v>
      </c>
      <c r="D20" s="11"/>
      <c r="F20" s="55" t="s">
        <v>141</v>
      </c>
      <c r="G20" s="55"/>
      <c r="H20" s="55"/>
      <c r="I20" s="31"/>
    </row>
    <row r="21" ht="37.5" customHeight="1">
      <c r="B21" s="52">
        <v>10.0</v>
      </c>
      <c r="C21" s="59" t="s">
        <v>150</v>
      </c>
      <c r="D21" s="11"/>
      <c r="F21" s="55" t="s">
        <v>141</v>
      </c>
      <c r="G21" s="55"/>
      <c r="H21" s="55"/>
      <c r="I21" s="31"/>
    </row>
    <row r="22" ht="37.5" customHeight="1">
      <c r="B22" s="52">
        <v>11.0</v>
      </c>
      <c r="C22" s="60" t="s">
        <v>151</v>
      </c>
      <c r="D22" s="61"/>
      <c r="F22" s="55" t="s">
        <v>141</v>
      </c>
      <c r="G22" s="55"/>
      <c r="H22" s="55"/>
      <c r="I22" s="31"/>
    </row>
    <row r="23" ht="37.5" customHeight="1">
      <c r="B23" s="52">
        <v>12.0</v>
      </c>
      <c r="C23" s="62" t="s">
        <v>152</v>
      </c>
      <c r="D23" s="11"/>
      <c r="F23" s="55" t="s">
        <v>141</v>
      </c>
      <c r="G23" s="55"/>
      <c r="H23" s="55"/>
      <c r="I23" s="31"/>
    </row>
    <row r="24" ht="37.5" customHeight="1">
      <c r="B24" s="52">
        <v>13.0</v>
      </c>
      <c r="C24" s="63" t="s">
        <v>153</v>
      </c>
      <c r="D24" s="64"/>
      <c r="F24" s="55" t="s">
        <v>141</v>
      </c>
      <c r="G24" s="55"/>
      <c r="H24" s="55"/>
      <c r="I24" s="31"/>
    </row>
    <row r="25" ht="37.5" customHeight="1">
      <c r="B25" s="52">
        <v>14.0</v>
      </c>
      <c r="C25" s="59" t="s">
        <v>154</v>
      </c>
      <c r="D25" s="11"/>
      <c r="E25" s="65"/>
      <c r="F25" s="55" t="s">
        <v>141</v>
      </c>
      <c r="G25" s="55"/>
      <c r="H25" s="55"/>
      <c r="I25" s="31"/>
    </row>
    <row r="26" ht="37.5" customHeight="1">
      <c r="B26" s="52">
        <v>15.0</v>
      </c>
      <c r="C26" s="59" t="s">
        <v>155</v>
      </c>
      <c r="D26" s="11"/>
      <c r="F26" s="55" t="s">
        <v>141</v>
      </c>
      <c r="G26" s="55"/>
      <c r="H26" s="55"/>
      <c r="I26" s="31"/>
    </row>
    <row r="27" ht="37.5" customHeight="1">
      <c r="B27" s="52">
        <v>16.0</v>
      </c>
      <c r="C27" s="59" t="s">
        <v>156</v>
      </c>
      <c r="D27" s="11"/>
      <c r="F27" s="55" t="s">
        <v>141</v>
      </c>
      <c r="G27" s="55"/>
      <c r="H27" s="55"/>
      <c r="I27" s="31"/>
    </row>
    <row r="28" ht="37.5" customHeight="1">
      <c r="B28" s="52">
        <v>17.0</v>
      </c>
      <c r="C28" s="59" t="s">
        <v>157</v>
      </c>
      <c r="D28" s="11"/>
      <c r="F28" s="55" t="s">
        <v>141</v>
      </c>
      <c r="G28" s="55"/>
      <c r="H28" s="55"/>
      <c r="I28" s="31"/>
    </row>
    <row r="29" ht="37.5" customHeight="1">
      <c r="B29" s="52">
        <v>18.0</v>
      </c>
      <c r="C29" s="59" t="s">
        <v>158</v>
      </c>
      <c r="D29" s="11"/>
      <c r="F29" s="55" t="s">
        <v>141</v>
      </c>
      <c r="G29" s="55"/>
      <c r="H29" s="55"/>
      <c r="I29" s="31"/>
    </row>
    <row r="30" ht="37.5" customHeight="1">
      <c r="B30" s="52">
        <v>19.0</v>
      </c>
      <c r="C30" s="59" t="s">
        <v>159</v>
      </c>
      <c r="D30" s="11"/>
      <c r="F30" s="55" t="s">
        <v>141</v>
      </c>
      <c r="G30" s="55"/>
      <c r="H30" s="55"/>
      <c r="I30" s="31"/>
    </row>
    <row r="31" ht="37.5" customHeight="1">
      <c r="B31" s="52">
        <v>20.0</v>
      </c>
      <c r="C31" s="59" t="s">
        <v>160</v>
      </c>
      <c r="D31" s="11"/>
      <c r="F31" s="55" t="s">
        <v>141</v>
      </c>
      <c r="G31" s="55"/>
      <c r="H31" s="55"/>
      <c r="I31" s="31"/>
    </row>
    <row r="32" ht="37.5" customHeight="1">
      <c r="B32" s="52">
        <v>21.0</v>
      </c>
      <c r="C32" s="59" t="s">
        <v>161</v>
      </c>
      <c r="D32" s="11"/>
      <c r="F32" s="55" t="s">
        <v>141</v>
      </c>
      <c r="G32" s="55"/>
      <c r="H32" s="55"/>
      <c r="I32" s="31"/>
    </row>
    <row r="33" ht="37.5" customHeight="1">
      <c r="B33" s="52">
        <v>22.0</v>
      </c>
      <c r="C33" s="59" t="s">
        <v>162</v>
      </c>
      <c r="D33" s="11"/>
      <c r="F33" s="55" t="s">
        <v>141</v>
      </c>
      <c r="G33" s="55"/>
      <c r="H33" s="55"/>
      <c r="I33" s="31"/>
    </row>
    <row r="34" ht="37.5" customHeight="1">
      <c r="B34" s="52">
        <v>23.0</v>
      </c>
      <c r="C34" s="59" t="s">
        <v>163</v>
      </c>
      <c r="D34" s="11"/>
      <c r="F34" s="55" t="s">
        <v>141</v>
      </c>
      <c r="G34" s="55"/>
      <c r="H34" s="55"/>
      <c r="I34" s="31"/>
    </row>
    <row r="35" ht="37.5" customHeight="1">
      <c r="B35" s="52">
        <v>24.0</v>
      </c>
      <c r="C35" s="59" t="s">
        <v>164</v>
      </c>
      <c r="D35" s="11"/>
      <c r="F35" s="55" t="s">
        <v>141</v>
      </c>
      <c r="G35" s="55"/>
      <c r="H35" s="55"/>
      <c r="I35" s="31"/>
    </row>
    <row r="36" ht="37.5" customHeight="1">
      <c r="B36" s="52">
        <v>25.0</v>
      </c>
      <c r="C36" s="59" t="s">
        <v>165</v>
      </c>
      <c r="D36" s="11"/>
      <c r="F36" s="55" t="s">
        <v>141</v>
      </c>
      <c r="G36" s="55"/>
      <c r="H36" s="55"/>
      <c r="I36" s="31"/>
    </row>
    <row r="37" ht="37.5" customHeight="1">
      <c r="B37" s="52">
        <v>26.0</v>
      </c>
      <c r="C37" s="62" t="s">
        <v>166</v>
      </c>
      <c r="D37" s="11"/>
      <c r="F37" s="55" t="s">
        <v>141</v>
      </c>
      <c r="G37" s="55"/>
      <c r="H37" s="55"/>
      <c r="I37" s="31"/>
    </row>
    <row r="38" ht="37.5" customHeight="1"/>
    <row r="39" ht="37.5" customHeight="1"/>
    <row r="40" ht="37.5" customHeight="1"/>
    <row r="41" ht="37.5" customHeight="1"/>
    <row r="42" ht="37.5" customHeight="1"/>
    <row r="43" ht="37.5" customHeight="1"/>
    <row r="44" ht="37.5" customHeight="1"/>
    <row r="45" ht="37.5" customHeight="1"/>
    <row r="46" ht="37.5" customHeight="1"/>
    <row r="47" ht="37.5" customHeight="1"/>
    <row r="48" ht="37.5" customHeight="1"/>
    <row r="49" ht="37.5" customHeight="1"/>
    <row r="50" ht="37.5" customHeight="1"/>
    <row r="51" ht="37.5" customHeight="1"/>
    <row r="52" ht="37.5" customHeight="1"/>
    <row r="53" ht="37.5" customHeight="1"/>
    <row r="54" ht="37.5" customHeight="1"/>
    <row r="55" ht="37.5" customHeight="1"/>
    <row r="56" ht="37.5" customHeight="1"/>
    <row r="57" ht="37.5" customHeight="1"/>
    <row r="58" ht="37.5" customHeight="1"/>
    <row r="59" ht="37.5" customHeight="1"/>
    <row r="60" ht="37.5" customHeight="1"/>
    <row r="61" ht="37.5" customHeight="1"/>
    <row r="62" ht="37.5" customHeight="1"/>
    <row r="63" ht="37.5" customHeight="1"/>
    <row r="64" ht="37.5" customHeight="1"/>
    <row r="65" ht="37.5" customHeight="1"/>
    <row r="66" ht="37.5" customHeight="1"/>
    <row r="67" ht="37.5" customHeight="1"/>
    <row r="68" ht="37.5" customHeight="1"/>
    <row r="69" ht="37.5" customHeight="1"/>
    <row r="70" ht="37.5" customHeight="1"/>
    <row r="71" ht="37.5" customHeight="1"/>
    <row r="72" ht="37.5" customHeight="1"/>
    <row r="73" ht="37.5" customHeight="1"/>
    <row r="74" ht="37.5" customHeight="1"/>
    <row r="75" ht="37.5" customHeight="1"/>
    <row r="76" ht="37.5" customHeight="1"/>
    <row r="77" ht="37.5" customHeight="1"/>
    <row r="78" ht="37.5" customHeight="1"/>
    <row r="79" ht="37.5" customHeight="1"/>
    <row r="80" ht="37.5" customHeight="1"/>
    <row r="81" ht="37.5" customHeight="1"/>
    <row r="82" ht="37.5" customHeight="1"/>
    <row r="83" ht="37.5" customHeight="1"/>
    <row r="84" ht="37.5" customHeight="1"/>
    <row r="85" ht="37.5" customHeight="1"/>
    <row r="86" ht="37.5" customHeight="1"/>
    <row r="87" ht="37.5" customHeight="1"/>
    <row r="88" ht="37.5" customHeight="1"/>
    <row r="89" ht="37.5" customHeight="1"/>
    <row r="90" ht="37.5" customHeight="1"/>
    <row r="91" ht="37.5" customHeight="1"/>
    <row r="92" ht="37.5" customHeight="1"/>
    <row r="93" ht="37.5" customHeight="1"/>
    <row r="94" ht="37.5" customHeight="1"/>
    <row r="95" ht="37.5" customHeight="1"/>
    <row r="96" ht="37.5" customHeight="1"/>
    <row r="97" ht="37.5" customHeight="1"/>
    <row r="98" ht="37.5" customHeight="1"/>
    <row r="99" ht="37.5" customHeight="1"/>
    <row r="100" ht="37.5" customHeight="1"/>
    <row r="101" ht="37.5" customHeight="1"/>
    <row r="102" ht="37.5" customHeight="1"/>
    <row r="103" ht="37.5" customHeight="1"/>
    <row r="104" ht="37.5" customHeight="1"/>
    <row r="105" ht="37.5" customHeight="1"/>
    <row r="106" ht="37.5" customHeight="1"/>
    <row r="107" ht="37.5" customHeight="1"/>
    <row r="108" ht="37.5" customHeight="1"/>
    <row r="109" ht="37.5" customHeight="1"/>
    <row r="110" ht="37.5" customHeight="1"/>
    <row r="111" ht="37.5" customHeight="1"/>
    <row r="112" ht="37.5" customHeight="1"/>
    <row r="113" ht="37.5" customHeight="1"/>
    <row r="114" ht="37.5" customHeight="1"/>
    <row r="115" ht="37.5" customHeight="1"/>
    <row r="116" ht="37.5" customHeight="1"/>
    <row r="117" ht="37.5" customHeight="1"/>
    <row r="118" ht="37.5" customHeight="1"/>
    <row r="119" ht="37.5" customHeight="1"/>
    <row r="120" ht="37.5" customHeight="1"/>
    <row r="121" ht="37.5" customHeight="1"/>
    <row r="122" ht="37.5" customHeight="1"/>
    <row r="123" ht="37.5" customHeight="1"/>
    <row r="124" ht="37.5" customHeight="1"/>
    <row r="125" ht="37.5" customHeight="1"/>
    <row r="126" ht="37.5" customHeight="1"/>
    <row r="127" ht="37.5" customHeight="1"/>
    <row r="128" ht="37.5" customHeight="1"/>
    <row r="129" ht="37.5" customHeight="1"/>
    <row r="130" ht="37.5" customHeight="1"/>
    <row r="131" ht="37.5" customHeight="1"/>
    <row r="132" ht="37.5" customHeight="1"/>
    <row r="133" ht="37.5" customHeight="1"/>
    <row r="134" ht="37.5" customHeight="1"/>
    <row r="135" ht="37.5" customHeight="1"/>
    <row r="136" ht="37.5" customHeight="1"/>
    <row r="137" ht="37.5" customHeight="1"/>
    <row r="138" ht="37.5" customHeight="1"/>
    <row r="139" ht="37.5" customHeight="1"/>
    <row r="140" ht="37.5" customHeight="1"/>
    <row r="141" ht="37.5" customHeight="1"/>
    <row r="142" ht="37.5" customHeight="1"/>
    <row r="143" ht="37.5" customHeight="1"/>
    <row r="144" ht="37.5" customHeight="1"/>
    <row r="145" ht="37.5" customHeight="1"/>
    <row r="146" ht="37.5" customHeight="1"/>
    <row r="147" ht="37.5" customHeight="1"/>
    <row r="148" ht="37.5" customHeight="1"/>
    <row r="149" ht="37.5" customHeight="1"/>
    <row r="150" ht="37.5" customHeight="1"/>
    <row r="151" ht="37.5" customHeight="1"/>
    <row r="152" ht="37.5" customHeight="1"/>
    <row r="153" ht="37.5" customHeight="1"/>
    <row r="154" ht="37.5" customHeight="1"/>
    <row r="155" ht="37.5" customHeight="1"/>
    <row r="156" ht="37.5" customHeight="1"/>
    <row r="157" ht="37.5" customHeight="1"/>
    <row r="158" ht="37.5" customHeight="1"/>
    <row r="159" ht="37.5" customHeight="1"/>
    <row r="160" ht="37.5" customHeight="1"/>
    <row r="161" ht="37.5" customHeight="1"/>
    <row r="162" ht="37.5" customHeight="1"/>
    <row r="163" ht="37.5" customHeight="1"/>
    <row r="164" ht="37.5" customHeight="1"/>
    <row r="165" ht="37.5" customHeight="1"/>
    <row r="166" ht="37.5" customHeight="1"/>
    <row r="167" ht="37.5" customHeight="1"/>
    <row r="168" ht="37.5" customHeight="1"/>
    <row r="169" ht="37.5" customHeight="1"/>
    <row r="170" ht="37.5" customHeight="1"/>
    <row r="171" ht="37.5" customHeight="1"/>
    <row r="172" ht="37.5" customHeight="1"/>
    <row r="173" ht="37.5" customHeight="1"/>
    <row r="174" ht="37.5" customHeight="1"/>
    <row r="175" ht="37.5" customHeight="1"/>
    <row r="176" ht="37.5" customHeight="1"/>
    <row r="177" ht="37.5" customHeight="1"/>
    <row r="178" ht="37.5" customHeight="1"/>
    <row r="179" ht="37.5" customHeight="1"/>
    <row r="180" ht="37.5" customHeight="1"/>
    <row r="181" ht="37.5" customHeight="1"/>
    <row r="182" ht="37.5" customHeight="1"/>
    <row r="183" ht="37.5" customHeight="1"/>
    <row r="184" ht="37.5" customHeight="1"/>
    <row r="185" ht="37.5" customHeight="1"/>
    <row r="186" ht="37.5" customHeight="1"/>
    <row r="187" ht="37.5" customHeight="1"/>
    <row r="188" ht="37.5" customHeight="1"/>
    <row r="189" ht="37.5" customHeight="1"/>
    <row r="190" ht="37.5" customHeight="1"/>
    <row r="191" ht="37.5" customHeight="1"/>
    <row r="192" ht="37.5" customHeight="1"/>
    <row r="193" ht="37.5" customHeight="1"/>
    <row r="194" ht="37.5" customHeight="1"/>
    <row r="195" ht="37.5" customHeight="1"/>
    <row r="196" ht="37.5" customHeight="1"/>
    <row r="197" ht="37.5" customHeight="1"/>
    <row r="198" ht="37.5" customHeight="1"/>
    <row r="199" ht="37.5" customHeight="1"/>
    <row r="200" ht="37.5" customHeight="1"/>
    <row r="201" ht="37.5" customHeight="1"/>
    <row r="202" ht="37.5" customHeight="1"/>
    <row r="203" ht="37.5" customHeight="1"/>
    <row r="204" ht="37.5" customHeight="1"/>
    <row r="205" ht="37.5" customHeight="1"/>
    <row r="206" ht="37.5" customHeight="1"/>
    <row r="207" ht="37.5" customHeight="1"/>
    <row r="208" ht="37.5" customHeight="1"/>
    <row r="209" ht="37.5" customHeight="1"/>
    <row r="210" ht="37.5" customHeight="1"/>
    <row r="211" ht="37.5" customHeight="1"/>
    <row r="212" ht="37.5" customHeight="1"/>
    <row r="213" ht="37.5" customHeight="1"/>
    <row r="214" ht="37.5" customHeight="1"/>
    <row r="215" ht="37.5" customHeight="1"/>
    <row r="216" ht="37.5" customHeight="1"/>
    <row r="217" ht="37.5" customHeight="1"/>
    <row r="218" ht="37.5" customHeight="1"/>
    <row r="219" ht="37.5" customHeight="1"/>
    <row r="220" ht="37.5" customHeight="1"/>
    <row r="221" ht="37.5" customHeight="1"/>
    <row r="222" ht="37.5" customHeight="1"/>
    <row r="223" ht="37.5" customHeight="1"/>
    <row r="224" ht="37.5" customHeight="1"/>
    <row r="225" ht="37.5" customHeight="1"/>
    <row r="226" ht="37.5" customHeight="1"/>
    <row r="227" ht="37.5" customHeight="1"/>
    <row r="228" ht="37.5" customHeight="1"/>
    <row r="229" ht="37.5" customHeight="1"/>
    <row r="230" ht="37.5" customHeight="1"/>
    <row r="231" ht="37.5" customHeight="1"/>
    <row r="232" ht="37.5" customHeight="1"/>
    <row r="233" ht="37.5" customHeight="1"/>
    <row r="234" ht="37.5" customHeight="1"/>
    <row r="235" ht="37.5" customHeight="1"/>
    <row r="236" ht="37.5" customHeight="1"/>
    <row r="237" ht="37.5" customHeight="1"/>
    <row r="238" ht="37.5" customHeight="1"/>
    <row r="239" ht="37.5" customHeight="1"/>
    <row r="240" ht="37.5" customHeight="1"/>
    <row r="241" ht="37.5" customHeight="1"/>
    <row r="242" ht="37.5" customHeight="1"/>
    <row r="243" ht="37.5" customHeight="1"/>
    <row r="244" ht="37.5" customHeight="1"/>
    <row r="245" ht="37.5" customHeight="1"/>
    <row r="246" ht="37.5" customHeight="1"/>
    <row r="247" ht="37.5" customHeight="1"/>
    <row r="248" ht="37.5" customHeight="1"/>
    <row r="249" ht="37.5" customHeight="1"/>
    <row r="250" ht="37.5" customHeight="1"/>
    <row r="251" ht="37.5" customHeight="1"/>
    <row r="252" ht="37.5" customHeight="1"/>
    <row r="253" ht="37.5" customHeight="1"/>
    <row r="254" ht="37.5" customHeight="1"/>
    <row r="255" ht="37.5" customHeight="1"/>
    <row r="256" ht="37.5" customHeight="1"/>
    <row r="257" ht="37.5" customHeight="1"/>
    <row r="258" ht="37.5" customHeight="1"/>
    <row r="259" ht="37.5" customHeight="1"/>
    <row r="260" ht="37.5" customHeight="1"/>
    <row r="261" ht="37.5" customHeight="1"/>
    <row r="262" ht="37.5" customHeight="1"/>
    <row r="263" ht="37.5" customHeight="1"/>
    <row r="264" ht="37.5" customHeight="1"/>
    <row r="265" ht="37.5" customHeight="1"/>
    <row r="266" ht="37.5" customHeight="1"/>
    <row r="267" ht="37.5" customHeight="1"/>
    <row r="268" ht="37.5" customHeight="1"/>
    <row r="269" ht="37.5" customHeight="1"/>
    <row r="270" ht="37.5" customHeight="1"/>
    <row r="271" ht="37.5" customHeight="1"/>
    <row r="272" ht="37.5" customHeight="1"/>
    <row r="273" ht="37.5" customHeight="1"/>
    <row r="274" ht="37.5" customHeight="1"/>
    <row r="275" ht="37.5" customHeight="1"/>
    <row r="276" ht="37.5" customHeight="1"/>
    <row r="277" ht="37.5" customHeight="1"/>
    <row r="278" ht="37.5" customHeight="1"/>
    <row r="279" ht="37.5" customHeight="1"/>
    <row r="280" ht="37.5" customHeight="1"/>
    <row r="281" ht="37.5" customHeight="1"/>
    <row r="282" ht="37.5" customHeight="1"/>
    <row r="283" ht="37.5" customHeight="1"/>
    <row r="284" ht="37.5" customHeight="1"/>
    <row r="285" ht="37.5" customHeight="1"/>
    <row r="286" ht="37.5" customHeight="1"/>
    <row r="287" ht="37.5" customHeight="1"/>
    <row r="288" ht="37.5" customHeight="1"/>
    <row r="289" ht="37.5" customHeight="1"/>
    <row r="290" ht="37.5" customHeight="1"/>
    <row r="291" ht="37.5" customHeight="1"/>
    <row r="292" ht="37.5" customHeight="1"/>
    <row r="293" ht="37.5" customHeight="1"/>
    <row r="294" ht="37.5" customHeight="1"/>
    <row r="295" ht="37.5" customHeight="1"/>
    <row r="296" ht="37.5" customHeight="1"/>
    <row r="297" ht="37.5" customHeight="1"/>
    <row r="298" ht="37.5" customHeight="1"/>
    <row r="299" ht="37.5" customHeight="1"/>
    <row r="300" ht="37.5" customHeight="1"/>
    <row r="301" ht="37.5" customHeight="1"/>
    <row r="302" ht="37.5" customHeight="1"/>
    <row r="303" ht="37.5" customHeight="1"/>
    <row r="304" ht="37.5" customHeight="1"/>
    <row r="305" ht="37.5" customHeight="1"/>
    <row r="306" ht="37.5" customHeight="1"/>
    <row r="307" ht="37.5" customHeight="1"/>
    <row r="308" ht="37.5" customHeight="1"/>
    <row r="309" ht="37.5" customHeight="1"/>
    <row r="310" ht="37.5" customHeight="1"/>
    <row r="311" ht="37.5" customHeight="1"/>
    <row r="312" ht="37.5" customHeight="1"/>
    <row r="313" ht="37.5" customHeight="1"/>
    <row r="314" ht="37.5" customHeight="1"/>
    <row r="315" ht="37.5" customHeight="1"/>
    <row r="316" ht="37.5" customHeight="1"/>
    <row r="317" ht="37.5" customHeight="1"/>
    <row r="318" ht="37.5" customHeight="1"/>
    <row r="319" ht="37.5" customHeight="1"/>
    <row r="320" ht="37.5" customHeight="1"/>
    <row r="321" ht="37.5" customHeight="1"/>
    <row r="322" ht="37.5" customHeight="1"/>
    <row r="323" ht="37.5" customHeight="1"/>
    <row r="324" ht="37.5" customHeight="1"/>
    <row r="325" ht="37.5" customHeight="1"/>
    <row r="326" ht="37.5" customHeight="1"/>
    <row r="327" ht="37.5" customHeight="1"/>
    <row r="328" ht="37.5" customHeight="1"/>
    <row r="329" ht="37.5" customHeight="1"/>
    <row r="330" ht="37.5" customHeight="1"/>
    <row r="331" ht="37.5" customHeight="1"/>
    <row r="332" ht="37.5" customHeight="1"/>
    <row r="333" ht="37.5" customHeight="1"/>
    <row r="334" ht="37.5" customHeight="1"/>
    <row r="335" ht="37.5" customHeight="1"/>
    <row r="336" ht="37.5" customHeight="1"/>
    <row r="337" ht="37.5" customHeight="1"/>
    <row r="338" ht="37.5" customHeight="1"/>
    <row r="339" ht="37.5" customHeight="1"/>
    <row r="340" ht="37.5" customHeight="1"/>
    <row r="341" ht="37.5" customHeight="1"/>
    <row r="342" ht="37.5" customHeight="1"/>
    <row r="343" ht="37.5" customHeight="1"/>
    <row r="344" ht="37.5" customHeight="1"/>
    <row r="345" ht="37.5" customHeight="1"/>
    <row r="346" ht="37.5" customHeight="1"/>
    <row r="347" ht="37.5" customHeight="1"/>
    <row r="348" ht="37.5" customHeight="1"/>
    <row r="349" ht="37.5" customHeight="1"/>
    <row r="350" ht="37.5" customHeight="1"/>
    <row r="351" ht="37.5" customHeight="1"/>
    <row r="352" ht="37.5" customHeight="1"/>
    <row r="353" ht="37.5" customHeight="1"/>
    <row r="354" ht="37.5" customHeight="1"/>
    <row r="355" ht="37.5" customHeight="1"/>
    <row r="356" ht="37.5" customHeight="1"/>
    <row r="357" ht="37.5" customHeight="1"/>
    <row r="358" ht="37.5" customHeight="1"/>
    <row r="359" ht="37.5" customHeight="1"/>
    <row r="360" ht="37.5" customHeight="1"/>
    <row r="361" ht="37.5" customHeight="1"/>
    <row r="362" ht="37.5" customHeight="1"/>
    <row r="363" ht="37.5" customHeight="1"/>
    <row r="364" ht="37.5" customHeight="1"/>
    <row r="365" ht="37.5" customHeight="1"/>
    <row r="366" ht="37.5" customHeight="1"/>
    <row r="367" ht="37.5" customHeight="1"/>
    <row r="368" ht="37.5" customHeight="1"/>
    <row r="369" ht="37.5" customHeight="1"/>
    <row r="370" ht="37.5" customHeight="1"/>
    <row r="371" ht="37.5" customHeight="1"/>
    <row r="372" ht="37.5" customHeight="1"/>
    <row r="373" ht="37.5" customHeight="1"/>
    <row r="374" ht="37.5" customHeight="1"/>
    <row r="375" ht="37.5" customHeight="1"/>
    <row r="376" ht="37.5" customHeight="1"/>
    <row r="377" ht="37.5" customHeight="1"/>
    <row r="378" ht="37.5" customHeight="1"/>
    <row r="379" ht="37.5" customHeight="1"/>
    <row r="380" ht="37.5" customHeight="1"/>
    <row r="381" ht="37.5" customHeight="1"/>
    <row r="382" ht="37.5" customHeight="1"/>
    <row r="383" ht="37.5" customHeight="1"/>
    <row r="384" ht="37.5" customHeight="1"/>
    <row r="385" ht="37.5" customHeight="1"/>
    <row r="386" ht="37.5" customHeight="1"/>
    <row r="387" ht="37.5" customHeight="1"/>
    <row r="388" ht="37.5" customHeight="1"/>
    <row r="389" ht="37.5" customHeight="1"/>
    <row r="390" ht="37.5" customHeight="1"/>
    <row r="391" ht="37.5" customHeight="1"/>
    <row r="392" ht="37.5" customHeight="1"/>
    <row r="393" ht="37.5" customHeight="1"/>
    <row r="394" ht="37.5" customHeight="1"/>
    <row r="395" ht="37.5" customHeight="1"/>
    <row r="396" ht="37.5" customHeight="1"/>
    <row r="397" ht="37.5" customHeight="1"/>
    <row r="398" ht="37.5" customHeight="1"/>
    <row r="399" ht="37.5" customHeight="1"/>
    <row r="400" ht="37.5" customHeight="1"/>
    <row r="401" ht="37.5" customHeight="1"/>
    <row r="402" ht="37.5" customHeight="1"/>
    <row r="403" ht="37.5" customHeight="1"/>
    <row r="404" ht="37.5" customHeight="1"/>
    <row r="405" ht="37.5" customHeight="1"/>
    <row r="406" ht="37.5" customHeight="1"/>
    <row r="407" ht="37.5" customHeight="1"/>
    <row r="408" ht="37.5" customHeight="1"/>
    <row r="409" ht="37.5" customHeight="1"/>
    <row r="410" ht="37.5" customHeight="1"/>
    <row r="411" ht="37.5" customHeight="1"/>
    <row r="412" ht="37.5" customHeight="1"/>
    <row r="413" ht="37.5" customHeight="1"/>
    <row r="414" ht="37.5" customHeight="1"/>
    <row r="415" ht="37.5" customHeight="1"/>
    <row r="416" ht="37.5" customHeight="1"/>
    <row r="417" ht="37.5" customHeight="1"/>
    <row r="418" ht="37.5" customHeight="1"/>
    <row r="419" ht="37.5" customHeight="1"/>
    <row r="420" ht="37.5" customHeight="1"/>
    <row r="421" ht="37.5" customHeight="1"/>
    <row r="422" ht="37.5" customHeight="1"/>
    <row r="423" ht="37.5" customHeight="1"/>
    <row r="424" ht="37.5" customHeight="1"/>
    <row r="425" ht="37.5" customHeight="1"/>
    <row r="426" ht="37.5" customHeight="1"/>
    <row r="427" ht="37.5" customHeight="1"/>
    <row r="428" ht="37.5" customHeight="1"/>
    <row r="429" ht="37.5" customHeight="1"/>
    <row r="430" ht="37.5" customHeight="1"/>
    <row r="431" ht="37.5" customHeight="1"/>
    <row r="432" ht="37.5" customHeight="1"/>
    <row r="433" ht="37.5" customHeight="1"/>
    <row r="434" ht="37.5" customHeight="1"/>
    <row r="435" ht="37.5" customHeight="1"/>
    <row r="436" ht="37.5" customHeight="1"/>
    <row r="437" ht="37.5" customHeight="1"/>
    <row r="438" ht="37.5" customHeight="1"/>
    <row r="439" ht="37.5" customHeight="1"/>
    <row r="440" ht="37.5" customHeight="1"/>
    <row r="441" ht="37.5" customHeight="1"/>
    <row r="442" ht="37.5" customHeight="1"/>
    <row r="443" ht="37.5" customHeight="1"/>
    <row r="444" ht="37.5" customHeight="1"/>
    <row r="445" ht="37.5" customHeight="1"/>
    <row r="446" ht="37.5" customHeight="1"/>
    <row r="447" ht="37.5" customHeight="1"/>
    <row r="448" ht="37.5" customHeight="1"/>
    <row r="449" ht="37.5" customHeight="1"/>
    <row r="450" ht="37.5" customHeight="1"/>
    <row r="451" ht="37.5" customHeight="1"/>
    <row r="452" ht="37.5" customHeight="1"/>
    <row r="453" ht="37.5" customHeight="1"/>
    <row r="454" ht="37.5" customHeight="1"/>
    <row r="455" ht="37.5" customHeight="1"/>
    <row r="456" ht="37.5" customHeight="1"/>
    <row r="457" ht="37.5" customHeight="1"/>
    <row r="458" ht="37.5" customHeight="1"/>
    <row r="459" ht="37.5" customHeight="1"/>
    <row r="460" ht="37.5" customHeight="1"/>
    <row r="461" ht="37.5" customHeight="1"/>
    <row r="462" ht="37.5" customHeight="1"/>
    <row r="463" ht="37.5" customHeight="1"/>
    <row r="464" ht="37.5" customHeight="1"/>
    <row r="465" ht="37.5" customHeight="1"/>
    <row r="466" ht="37.5" customHeight="1"/>
    <row r="467" ht="37.5" customHeight="1"/>
    <row r="468" ht="37.5" customHeight="1"/>
    <row r="469" ht="37.5" customHeight="1"/>
    <row r="470" ht="37.5" customHeight="1"/>
    <row r="471" ht="37.5" customHeight="1"/>
    <row r="472" ht="37.5" customHeight="1"/>
    <row r="473" ht="37.5" customHeight="1"/>
    <row r="474" ht="37.5" customHeight="1"/>
    <row r="475" ht="37.5" customHeight="1"/>
    <row r="476" ht="37.5" customHeight="1"/>
    <row r="477" ht="37.5" customHeight="1"/>
    <row r="478" ht="37.5" customHeight="1"/>
    <row r="479" ht="37.5" customHeight="1"/>
    <row r="480" ht="37.5" customHeight="1"/>
    <row r="481" ht="37.5" customHeight="1"/>
    <row r="482" ht="37.5" customHeight="1"/>
    <row r="483" ht="37.5" customHeight="1"/>
    <row r="484" ht="37.5" customHeight="1"/>
    <row r="485" ht="37.5" customHeight="1"/>
    <row r="486" ht="37.5" customHeight="1"/>
    <row r="487" ht="37.5" customHeight="1"/>
    <row r="488" ht="37.5" customHeight="1"/>
    <row r="489" ht="37.5" customHeight="1"/>
    <row r="490" ht="37.5" customHeight="1"/>
    <row r="491" ht="37.5" customHeight="1"/>
    <row r="492" ht="37.5" customHeight="1"/>
    <row r="493" ht="37.5" customHeight="1"/>
    <row r="494" ht="37.5" customHeight="1"/>
    <row r="495" ht="37.5" customHeight="1"/>
    <row r="496" ht="37.5" customHeight="1"/>
    <row r="497" ht="37.5" customHeight="1"/>
    <row r="498" ht="37.5" customHeight="1"/>
    <row r="499" ht="37.5" customHeight="1"/>
    <row r="500" ht="37.5" customHeight="1"/>
    <row r="501" ht="37.5" customHeight="1"/>
    <row r="502" ht="37.5" customHeight="1"/>
    <row r="503" ht="37.5" customHeight="1"/>
    <row r="504" ht="37.5" customHeight="1"/>
    <row r="505" ht="37.5" customHeight="1"/>
    <row r="506" ht="37.5" customHeight="1"/>
    <row r="507" ht="37.5" customHeight="1"/>
    <row r="508" ht="37.5" customHeight="1"/>
    <row r="509" ht="37.5" customHeight="1"/>
    <row r="510" ht="37.5" customHeight="1"/>
    <row r="511" ht="37.5" customHeight="1"/>
    <row r="512" ht="37.5" customHeight="1"/>
    <row r="513" ht="37.5" customHeight="1"/>
    <row r="514" ht="37.5" customHeight="1"/>
    <row r="515" ht="37.5" customHeight="1"/>
    <row r="516" ht="37.5" customHeight="1"/>
    <row r="517" ht="37.5" customHeight="1"/>
    <row r="518" ht="37.5" customHeight="1"/>
    <row r="519" ht="37.5" customHeight="1"/>
    <row r="520" ht="37.5" customHeight="1"/>
    <row r="521" ht="37.5" customHeight="1"/>
    <row r="522" ht="37.5" customHeight="1"/>
    <row r="523" ht="37.5" customHeight="1"/>
    <row r="524" ht="37.5" customHeight="1"/>
    <row r="525" ht="37.5" customHeight="1"/>
    <row r="526" ht="37.5" customHeight="1"/>
    <row r="527" ht="37.5" customHeight="1"/>
    <row r="528" ht="37.5" customHeight="1"/>
    <row r="529" ht="37.5" customHeight="1"/>
    <row r="530" ht="37.5" customHeight="1"/>
    <row r="531" ht="37.5" customHeight="1"/>
    <row r="532" ht="37.5" customHeight="1"/>
    <row r="533" ht="37.5" customHeight="1"/>
    <row r="534" ht="37.5" customHeight="1"/>
    <row r="535" ht="37.5" customHeight="1"/>
    <row r="536" ht="37.5" customHeight="1"/>
    <row r="537" ht="37.5" customHeight="1"/>
    <row r="538" ht="37.5" customHeight="1"/>
    <row r="539" ht="37.5" customHeight="1"/>
    <row r="540" ht="37.5" customHeight="1"/>
    <row r="541" ht="37.5" customHeight="1"/>
    <row r="542" ht="37.5" customHeight="1"/>
    <row r="543" ht="37.5" customHeight="1"/>
    <row r="544" ht="37.5" customHeight="1"/>
    <row r="545" ht="37.5" customHeight="1"/>
    <row r="546" ht="37.5" customHeight="1"/>
    <row r="547" ht="37.5" customHeight="1"/>
    <row r="548" ht="37.5" customHeight="1"/>
    <row r="549" ht="37.5" customHeight="1"/>
    <row r="550" ht="37.5" customHeight="1"/>
    <row r="551" ht="37.5" customHeight="1"/>
    <row r="552" ht="37.5" customHeight="1"/>
    <row r="553" ht="37.5" customHeight="1"/>
    <row r="554" ht="37.5" customHeight="1"/>
    <row r="555" ht="37.5" customHeight="1"/>
    <row r="556" ht="37.5" customHeight="1"/>
    <row r="557" ht="37.5" customHeight="1"/>
    <row r="558" ht="37.5" customHeight="1"/>
    <row r="559" ht="37.5" customHeight="1"/>
    <row r="560" ht="37.5" customHeight="1"/>
    <row r="561" ht="37.5" customHeight="1"/>
    <row r="562" ht="37.5" customHeight="1"/>
    <row r="563" ht="37.5" customHeight="1"/>
    <row r="564" ht="37.5" customHeight="1"/>
    <row r="565" ht="37.5" customHeight="1"/>
    <row r="566" ht="37.5" customHeight="1"/>
    <row r="567" ht="37.5" customHeight="1"/>
    <row r="568" ht="37.5" customHeight="1"/>
    <row r="569" ht="37.5" customHeight="1"/>
    <row r="570" ht="37.5" customHeight="1"/>
    <row r="571" ht="37.5" customHeight="1"/>
    <row r="572" ht="37.5" customHeight="1"/>
    <row r="573" ht="37.5" customHeight="1"/>
    <row r="574" ht="37.5" customHeight="1"/>
    <row r="575" ht="37.5" customHeight="1"/>
    <row r="576" ht="37.5" customHeight="1"/>
    <row r="577" ht="37.5" customHeight="1"/>
    <row r="578" ht="37.5" customHeight="1"/>
    <row r="579" ht="37.5" customHeight="1"/>
    <row r="580" ht="37.5" customHeight="1"/>
    <row r="581" ht="37.5" customHeight="1"/>
    <row r="582" ht="37.5" customHeight="1"/>
    <row r="583" ht="37.5" customHeight="1"/>
    <row r="584" ht="37.5" customHeight="1"/>
    <row r="585" ht="37.5" customHeight="1"/>
    <row r="586" ht="37.5" customHeight="1"/>
    <row r="587" ht="37.5" customHeight="1"/>
    <row r="588" ht="37.5" customHeight="1"/>
    <row r="589" ht="37.5" customHeight="1"/>
    <row r="590" ht="37.5" customHeight="1"/>
    <row r="591" ht="37.5" customHeight="1"/>
    <row r="592" ht="37.5" customHeight="1"/>
    <row r="593" ht="37.5" customHeight="1"/>
    <row r="594" ht="37.5" customHeight="1"/>
    <row r="595" ht="37.5" customHeight="1"/>
    <row r="596" ht="37.5" customHeight="1"/>
    <row r="597" ht="37.5" customHeight="1"/>
    <row r="598" ht="37.5" customHeight="1"/>
    <row r="599" ht="37.5" customHeight="1"/>
    <row r="600" ht="37.5" customHeight="1"/>
    <row r="601" ht="37.5" customHeight="1"/>
    <row r="602" ht="37.5" customHeight="1"/>
    <row r="603" ht="37.5" customHeight="1"/>
    <row r="604" ht="37.5" customHeight="1"/>
    <row r="605" ht="37.5" customHeight="1"/>
    <row r="606" ht="37.5" customHeight="1"/>
    <row r="607" ht="37.5" customHeight="1"/>
    <row r="608" ht="37.5" customHeight="1"/>
    <row r="609" ht="37.5" customHeight="1"/>
    <row r="610" ht="37.5" customHeight="1"/>
    <row r="611" ht="37.5" customHeight="1"/>
    <row r="612" ht="37.5" customHeight="1"/>
    <row r="613" ht="37.5" customHeight="1"/>
    <row r="614" ht="37.5" customHeight="1"/>
    <row r="615" ht="37.5" customHeight="1"/>
    <row r="616" ht="37.5" customHeight="1"/>
    <row r="617" ht="37.5" customHeight="1"/>
    <row r="618" ht="37.5" customHeight="1"/>
    <row r="619" ht="37.5" customHeight="1"/>
    <row r="620" ht="37.5" customHeight="1"/>
    <row r="621" ht="37.5" customHeight="1"/>
    <row r="622" ht="37.5" customHeight="1"/>
    <row r="623" ht="37.5" customHeight="1"/>
    <row r="624" ht="37.5" customHeight="1"/>
    <row r="625" ht="37.5" customHeight="1"/>
    <row r="626" ht="37.5" customHeight="1"/>
    <row r="627" ht="37.5" customHeight="1"/>
    <row r="628" ht="37.5" customHeight="1"/>
    <row r="629" ht="37.5" customHeight="1"/>
    <row r="630" ht="37.5" customHeight="1"/>
    <row r="631" ht="37.5" customHeight="1"/>
    <row r="632" ht="37.5" customHeight="1"/>
    <row r="633" ht="37.5" customHeight="1"/>
    <row r="634" ht="37.5" customHeight="1"/>
    <row r="635" ht="37.5" customHeight="1"/>
    <row r="636" ht="37.5" customHeight="1"/>
    <row r="637" ht="37.5" customHeight="1"/>
    <row r="638" ht="37.5" customHeight="1"/>
    <row r="639" ht="37.5" customHeight="1"/>
    <row r="640" ht="37.5" customHeight="1"/>
    <row r="641" ht="37.5" customHeight="1"/>
    <row r="642" ht="37.5" customHeight="1"/>
    <row r="643" ht="37.5" customHeight="1"/>
    <row r="644" ht="37.5" customHeight="1"/>
    <row r="645" ht="37.5" customHeight="1"/>
    <row r="646" ht="37.5" customHeight="1"/>
    <row r="647" ht="37.5" customHeight="1"/>
    <row r="648" ht="37.5" customHeight="1"/>
    <row r="649" ht="37.5" customHeight="1"/>
    <row r="650" ht="37.5" customHeight="1"/>
    <row r="651" ht="37.5" customHeight="1"/>
    <row r="652" ht="37.5" customHeight="1"/>
    <row r="653" ht="37.5" customHeight="1"/>
    <row r="654" ht="37.5" customHeight="1"/>
    <row r="655" ht="37.5" customHeight="1"/>
    <row r="656" ht="37.5" customHeight="1"/>
    <row r="657" ht="37.5" customHeight="1"/>
    <row r="658" ht="37.5" customHeight="1"/>
    <row r="659" ht="37.5" customHeight="1"/>
    <row r="660" ht="37.5" customHeight="1"/>
    <row r="661" ht="37.5" customHeight="1"/>
    <row r="662" ht="37.5" customHeight="1"/>
    <row r="663" ht="37.5" customHeight="1"/>
    <row r="664" ht="37.5" customHeight="1"/>
    <row r="665" ht="37.5" customHeight="1"/>
    <row r="666" ht="37.5" customHeight="1"/>
    <row r="667" ht="37.5" customHeight="1"/>
    <row r="668" ht="37.5" customHeight="1"/>
    <row r="669" ht="37.5" customHeight="1"/>
    <row r="670" ht="37.5" customHeight="1"/>
    <row r="671" ht="37.5" customHeight="1"/>
    <row r="672" ht="37.5" customHeight="1"/>
    <row r="673" ht="37.5" customHeight="1"/>
    <row r="674" ht="37.5" customHeight="1"/>
    <row r="675" ht="37.5" customHeight="1"/>
    <row r="676" ht="37.5" customHeight="1"/>
    <row r="677" ht="37.5" customHeight="1"/>
    <row r="678" ht="37.5" customHeight="1"/>
    <row r="679" ht="37.5" customHeight="1"/>
    <row r="680" ht="37.5" customHeight="1"/>
    <row r="681" ht="37.5" customHeight="1"/>
    <row r="682" ht="37.5" customHeight="1"/>
    <row r="683" ht="37.5" customHeight="1"/>
    <row r="684" ht="37.5" customHeight="1"/>
    <row r="685" ht="37.5" customHeight="1"/>
    <row r="686" ht="37.5" customHeight="1"/>
    <row r="687" ht="37.5" customHeight="1"/>
    <row r="688" ht="37.5" customHeight="1"/>
    <row r="689" ht="37.5" customHeight="1"/>
    <row r="690" ht="37.5" customHeight="1"/>
    <row r="691" ht="37.5" customHeight="1"/>
    <row r="692" ht="37.5" customHeight="1"/>
    <row r="693" ht="37.5" customHeight="1"/>
    <row r="694" ht="37.5" customHeight="1"/>
    <row r="695" ht="37.5" customHeight="1"/>
    <row r="696" ht="37.5" customHeight="1"/>
    <row r="697" ht="37.5" customHeight="1"/>
    <row r="698" ht="37.5" customHeight="1"/>
    <row r="699" ht="37.5" customHeight="1"/>
    <row r="700" ht="37.5" customHeight="1"/>
    <row r="701" ht="37.5" customHeight="1"/>
    <row r="702" ht="37.5" customHeight="1"/>
    <row r="703" ht="37.5" customHeight="1"/>
    <row r="704" ht="37.5" customHeight="1"/>
    <row r="705" ht="37.5" customHeight="1"/>
    <row r="706" ht="37.5" customHeight="1"/>
    <row r="707" ht="37.5" customHeight="1"/>
    <row r="708" ht="37.5" customHeight="1"/>
    <row r="709" ht="37.5" customHeight="1"/>
    <row r="710" ht="37.5" customHeight="1"/>
    <row r="711" ht="37.5" customHeight="1"/>
    <row r="712" ht="37.5" customHeight="1"/>
    <row r="713" ht="37.5" customHeight="1"/>
    <row r="714" ht="37.5" customHeight="1"/>
    <row r="715" ht="37.5" customHeight="1"/>
    <row r="716" ht="37.5" customHeight="1"/>
    <row r="717" ht="37.5" customHeight="1"/>
    <row r="718" ht="37.5" customHeight="1"/>
    <row r="719" ht="37.5" customHeight="1"/>
    <row r="720" ht="37.5" customHeight="1"/>
    <row r="721" ht="37.5" customHeight="1"/>
    <row r="722" ht="37.5" customHeight="1"/>
    <row r="723" ht="37.5" customHeight="1"/>
    <row r="724" ht="37.5" customHeight="1"/>
    <row r="725" ht="37.5" customHeight="1"/>
    <row r="726" ht="37.5" customHeight="1"/>
    <row r="727" ht="37.5" customHeight="1"/>
    <row r="728" ht="37.5" customHeight="1"/>
    <row r="729" ht="37.5" customHeight="1"/>
    <row r="730" ht="37.5" customHeight="1"/>
    <row r="731" ht="37.5" customHeight="1"/>
    <row r="732" ht="37.5" customHeight="1"/>
    <row r="733" ht="37.5" customHeight="1"/>
    <row r="734" ht="37.5" customHeight="1"/>
    <row r="735" ht="37.5" customHeight="1"/>
    <row r="736" ht="37.5" customHeight="1"/>
    <row r="737" ht="37.5" customHeight="1"/>
    <row r="738" ht="37.5" customHeight="1"/>
    <row r="739" ht="37.5" customHeight="1"/>
    <row r="740" ht="37.5" customHeight="1"/>
    <row r="741" ht="37.5" customHeight="1"/>
    <row r="742" ht="37.5" customHeight="1"/>
    <row r="743" ht="37.5" customHeight="1"/>
    <row r="744" ht="37.5" customHeight="1"/>
    <row r="745" ht="37.5" customHeight="1"/>
    <row r="746" ht="37.5" customHeight="1"/>
    <row r="747" ht="37.5" customHeight="1"/>
    <row r="748" ht="37.5" customHeight="1"/>
    <row r="749" ht="37.5" customHeight="1"/>
    <row r="750" ht="37.5" customHeight="1"/>
    <row r="751" ht="37.5" customHeight="1"/>
    <row r="752" ht="37.5" customHeight="1"/>
    <row r="753" ht="37.5" customHeight="1"/>
    <row r="754" ht="37.5" customHeight="1"/>
    <row r="755" ht="37.5" customHeight="1"/>
    <row r="756" ht="37.5" customHeight="1"/>
    <row r="757" ht="37.5" customHeight="1"/>
    <row r="758" ht="37.5" customHeight="1"/>
    <row r="759" ht="37.5" customHeight="1"/>
    <row r="760" ht="37.5" customHeight="1"/>
    <row r="761" ht="37.5" customHeight="1"/>
    <row r="762" ht="37.5" customHeight="1"/>
    <row r="763" ht="37.5" customHeight="1"/>
    <row r="764" ht="37.5" customHeight="1"/>
    <row r="765" ht="37.5" customHeight="1"/>
    <row r="766" ht="37.5" customHeight="1"/>
    <row r="767" ht="37.5" customHeight="1"/>
    <row r="768" ht="37.5" customHeight="1"/>
    <row r="769" ht="37.5" customHeight="1"/>
    <row r="770" ht="37.5" customHeight="1"/>
    <row r="771" ht="37.5" customHeight="1"/>
    <row r="772" ht="37.5" customHeight="1"/>
    <row r="773" ht="37.5" customHeight="1"/>
    <row r="774" ht="37.5" customHeight="1"/>
    <row r="775" ht="37.5" customHeight="1"/>
    <row r="776" ht="37.5" customHeight="1"/>
    <row r="777" ht="37.5" customHeight="1"/>
    <row r="778" ht="37.5" customHeight="1"/>
    <row r="779" ht="37.5" customHeight="1"/>
    <row r="780" ht="37.5" customHeight="1"/>
    <row r="781" ht="37.5" customHeight="1"/>
    <row r="782" ht="37.5" customHeight="1"/>
    <row r="783" ht="37.5" customHeight="1"/>
    <row r="784" ht="37.5" customHeight="1"/>
    <row r="785" ht="37.5" customHeight="1"/>
    <row r="786" ht="37.5" customHeight="1"/>
    <row r="787" ht="37.5" customHeight="1"/>
    <row r="788" ht="37.5" customHeight="1"/>
    <row r="789" ht="37.5" customHeight="1"/>
    <row r="790" ht="37.5" customHeight="1"/>
    <row r="791" ht="37.5" customHeight="1"/>
    <row r="792" ht="37.5" customHeight="1"/>
    <row r="793" ht="37.5" customHeight="1"/>
    <row r="794" ht="37.5" customHeight="1"/>
    <row r="795" ht="37.5" customHeight="1"/>
    <row r="796" ht="37.5" customHeight="1"/>
    <row r="797" ht="37.5" customHeight="1"/>
    <row r="798" ht="37.5" customHeight="1"/>
    <row r="799" ht="37.5" customHeight="1"/>
    <row r="800" ht="37.5" customHeight="1"/>
    <row r="801" ht="37.5" customHeight="1"/>
    <row r="802" ht="37.5" customHeight="1"/>
    <row r="803" ht="37.5" customHeight="1"/>
    <row r="804" ht="37.5" customHeight="1"/>
    <row r="805" ht="37.5" customHeight="1"/>
    <row r="806" ht="37.5" customHeight="1"/>
    <row r="807" ht="37.5" customHeight="1"/>
    <row r="808" ht="37.5" customHeight="1"/>
    <row r="809" ht="37.5" customHeight="1"/>
    <row r="810" ht="37.5" customHeight="1"/>
    <row r="811" ht="37.5" customHeight="1"/>
    <row r="812" ht="37.5" customHeight="1"/>
    <row r="813" ht="37.5" customHeight="1"/>
    <row r="814" ht="37.5" customHeight="1"/>
    <row r="815" ht="37.5" customHeight="1"/>
    <row r="816" ht="37.5" customHeight="1"/>
    <row r="817" ht="37.5" customHeight="1"/>
    <row r="818" ht="37.5" customHeight="1"/>
    <row r="819" ht="37.5" customHeight="1"/>
    <row r="820" ht="37.5" customHeight="1"/>
    <row r="821" ht="37.5" customHeight="1"/>
    <row r="822" ht="37.5" customHeight="1"/>
    <row r="823" ht="37.5" customHeight="1"/>
    <row r="824" ht="37.5" customHeight="1"/>
    <row r="825" ht="37.5" customHeight="1"/>
    <row r="826" ht="37.5" customHeight="1"/>
    <row r="827" ht="37.5" customHeight="1"/>
    <row r="828" ht="37.5" customHeight="1"/>
    <row r="829" ht="37.5" customHeight="1"/>
    <row r="830" ht="37.5" customHeight="1"/>
    <row r="831" ht="37.5" customHeight="1"/>
    <row r="832" ht="37.5" customHeight="1"/>
    <row r="833" ht="37.5" customHeight="1"/>
    <row r="834" ht="37.5" customHeight="1"/>
    <row r="835" ht="37.5" customHeight="1"/>
    <row r="836" ht="37.5" customHeight="1"/>
    <row r="837" ht="37.5" customHeight="1"/>
    <row r="838" ht="37.5" customHeight="1"/>
    <row r="839" ht="37.5" customHeight="1"/>
    <row r="840" ht="37.5" customHeight="1"/>
    <row r="841" ht="37.5" customHeight="1"/>
    <row r="842" ht="37.5" customHeight="1"/>
    <row r="843" ht="37.5" customHeight="1"/>
    <row r="844" ht="37.5" customHeight="1"/>
    <row r="845" ht="37.5" customHeight="1"/>
    <row r="846" ht="37.5" customHeight="1"/>
    <row r="847" ht="37.5" customHeight="1"/>
    <row r="848" ht="37.5" customHeight="1"/>
    <row r="849" ht="37.5" customHeight="1"/>
    <row r="850" ht="37.5" customHeight="1"/>
    <row r="851" ht="37.5" customHeight="1"/>
    <row r="852" ht="37.5" customHeight="1"/>
    <row r="853" ht="37.5" customHeight="1"/>
    <row r="854" ht="37.5" customHeight="1"/>
    <row r="855" ht="37.5" customHeight="1"/>
    <row r="856" ht="37.5" customHeight="1"/>
    <row r="857" ht="37.5" customHeight="1"/>
    <row r="858" ht="37.5" customHeight="1"/>
    <row r="859" ht="37.5" customHeight="1"/>
    <row r="860" ht="37.5" customHeight="1"/>
    <row r="861" ht="37.5" customHeight="1"/>
    <row r="862" ht="37.5" customHeight="1"/>
    <row r="863" ht="37.5" customHeight="1"/>
    <row r="864" ht="37.5" customHeight="1"/>
    <row r="865" ht="37.5" customHeight="1"/>
    <row r="866" ht="37.5" customHeight="1"/>
    <row r="867" ht="37.5" customHeight="1"/>
    <row r="868" ht="37.5" customHeight="1"/>
    <row r="869" ht="37.5" customHeight="1"/>
    <row r="870" ht="37.5" customHeight="1"/>
    <row r="871" ht="37.5" customHeight="1"/>
    <row r="872" ht="37.5" customHeight="1"/>
    <row r="873" ht="37.5" customHeight="1"/>
    <row r="874" ht="37.5" customHeight="1"/>
    <row r="875" ht="37.5" customHeight="1"/>
    <row r="876" ht="37.5" customHeight="1"/>
    <row r="877" ht="37.5" customHeight="1"/>
    <row r="878" ht="37.5" customHeight="1"/>
    <row r="879" ht="37.5" customHeight="1"/>
    <row r="880" ht="37.5" customHeight="1"/>
    <row r="881" ht="37.5" customHeight="1"/>
    <row r="882" ht="37.5" customHeight="1"/>
    <row r="883" ht="37.5" customHeight="1"/>
    <row r="884" ht="37.5" customHeight="1"/>
    <row r="885" ht="37.5" customHeight="1"/>
    <row r="886" ht="37.5" customHeight="1"/>
    <row r="887" ht="37.5" customHeight="1"/>
    <row r="888" ht="37.5" customHeight="1"/>
    <row r="889" ht="37.5" customHeight="1"/>
    <row r="890" ht="37.5" customHeight="1"/>
    <row r="891" ht="37.5" customHeight="1"/>
    <row r="892" ht="37.5" customHeight="1"/>
    <row r="893" ht="37.5" customHeight="1"/>
    <row r="894" ht="37.5" customHeight="1"/>
    <row r="895" ht="37.5" customHeight="1"/>
    <row r="896" ht="37.5" customHeight="1"/>
    <row r="897" ht="37.5" customHeight="1"/>
    <row r="898" ht="37.5" customHeight="1"/>
    <row r="899" ht="37.5" customHeight="1"/>
    <row r="900" ht="37.5" customHeight="1"/>
    <row r="901" ht="37.5" customHeight="1"/>
    <row r="902" ht="37.5" customHeight="1"/>
    <row r="903" ht="37.5" customHeight="1"/>
    <row r="904" ht="37.5" customHeight="1"/>
    <row r="905" ht="37.5" customHeight="1"/>
    <row r="906" ht="37.5" customHeight="1"/>
    <row r="907" ht="37.5" customHeight="1"/>
    <row r="908" ht="37.5" customHeight="1"/>
    <row r="909" ht="37.5" customHeight="1"/>
    <row r="910" ht="37.5" customHeight="1"/>
    <row r="911" ht="37.5" customHeight="1"/>
    <row r="912" ht="37.5" customHeight="1"/>
    <row r="913" ht="37.5" customHeight="1"/>
    <row r="914" ht="37.5" customHeight="1"/>
    <row r="915" ht="37.5" customHeight="1"/>
    <row r="916" ht="37.5" customHeight="1"/>
    <row r="917" ht="37.5" customHeight="1"/>
    <row r="918" ht="37.5" customHeight="1"/>
    <row r="919" ht="37.5" customHeight="1"/>
    <row r="920" ht="37.5" customHeight="1"/>
    <row r="921" ht="37.5" customHeight="1"/>
    <row r="922" ht="37.5" customHeight="1"/>
    <row r="923" ht="37.5" customHeight="1"/>
    <row r="924" ht="37.5" customHeight="1"/>
    <row r="925" ht="37.5" customHeight="1"/>
    <row r="926" ht="37.5" customHeight="1"/>
    <row r="927" ht="37.5" customHeight="1"/>
    <row r="928" ht="37.5" customHeight="1"/>
    <row r="929" ht="37.5" customHeight="1"/>
    <row r="930" ht="37.5" customHeight="1"/>
    <row r="931" ht="37.5" customHeight="1"/>
    <row r="932" ht="37.5" customHeight="1"/>
    <row r="933" ht="37.5" customHeight="1"/>
    <row r="934" ht="37.5" customHeight="1"/>
    <row r="935" ht="37.5" customHeight="1"/>
    <row r="936" ht="37.5" customHeight="1"/>
    <row r="937" ht="37.5" customHeight="1"/>
    <row r="938" ht="37.5" customHeight="1"/>
    <row r="939" ht="37.5" customHeight="1"/>
    <row r="940" ht="37.5" customHeight="1"/>
    <row r="941" ht="37.5" customHeight="1"/>
    <row r="942" ht="37.5" customHeight="1"/>
    <row r="943" ht="37.5" customHeight="1"/>
    <row r="944" ht="37.5" customHeight="1"/>
    <row r="945" ht="37.5" customHeight="1"/>
    <row r="946" ht="37.5" customHeight="1"/>
    <row r="947" ht="37.5" customHeight="1"/>
    <row r="948" ht="37.5" customHeight="1"/>
    <row r="949" ht="37.5" customHeight="1"/>
    <row r="950" ht="37.5" customHeight="1"/>
    <row r="951" ht="37.5" customHeight="1"/>
    <row r="952" ht="37.5" customHeight="1"/>
    <row r="953" ht="37.5" customHeight="1"/>
    <row r="954" ht="37.5" customHeight="1"/>
    <row r="955" ht="37.5" customHeight="1"/>
    <row r="956" ht="37.5" customHeight="1"/>
    <row r="957" ht="37.5" customHeight="1"/>
    <row r="958" ht="37.5" customHeight="1"/>
    <row r="959" ht="37.5" customHeight="1"/>
    <row r="960" ht="37.5" customHeight="1"/>
    <row r="961" ht="37.5" customHeight="1"/>
    <row r="962" ht="37.5" customHeight="1"/>
    <row r="963" ht="37.5" customHeight="1"/>
    <row r="964" ht="37.5" customHeight="1"/>
    <row r="965" ht="37.5" customHeight="1"/>
    <row r="966" ht="37.5" customHeight="1"/>
    <row r="967" ht="37.5" customHeight="1"/>
    <row r="968" ht="37.5" customHeight="1"/>
    <row r="969" ht="37.5" customHeight="1"/>
    <row r="970" ht="37.5" customHeight="1"/>
    <row r="971" ht="37.5" customHeight="1"/>
    <row r="972" ht="37.5" customHeight="1"/>
    <row r="973" ht="37.5" customHeight="1"/>
    <row r="974" ht="37.5" customHeight="1"/>
    <row r="975" ht="37.5" customHeight="1"/>
    <row r="976" ht="37.5" customHeight="1"/>
    <row r="977" ht="37.5" customHeight="1"/>
    <row r="978" ht="37.5" customHeight="1"/>
    <row r="979" ht="37.5" customHeight="1"/>
    <row r="980" ht="37.5" customHeight="1"/>
    <row r="981" ht="37.5" customHeight="1"/>
    <row r="982" ht="37.5" customHeight="1"/>
    <row r="983" ht="37.5" customHeight="1"/>
    <row r="984" ht="37.5" customHeight="1"/>
    <row r="985" ht="37.5" customHeight="1"/>
    <row r="986" ht="37.5" customHeight="1"/>
    <row r="987" ht="37.5" customHeight="1"/>
    <row r="988" ht="37.5" customHeight="1"/>
    <row r="989" ht="37.5" customHeight="1"/>
    <row r="990" ht="37.5" customHeight="1"/>
    <row r="991" ht="37.5" customHeight="1"/>
    <row r="992" ht="37.5" customHeight="1"/>
    <row r="993" ht="37.5" customHeight="1"/>
    <row r="994" ht="37.5" customHeight="1"/>
    <row r="995" ht="37.5" customHeight="1"/>
    <row r="996" ht="37.5" customHeight="1"/>
    <row r="997" ht="37.5" customHeight="1"/>
    <row r="998" ht="37.5" customHeight="1"/>
    <row r="999" ht="37.5" customHeight="1"/>
    <row r="1000" ht="37.5" customHeight="1"/>
  </sheetData>
  <mergeCells count="36">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16:D16"/>
    <mergeCell ref="C17:D17"/>
    <mergeCell ref="C18:D18"/>
    <mergeCell ref="C19:D19"/>
    <mergeCell ref="C20:D20"/>
    <mergeCell ref="C21:D21"/>
    <mergeCell ref="C22:D22"/>
    <mergeCell ref="C30:D30"/>
    <mergeCell ref="C31:D31"/>
    <mergeCell ref="C32:D32"/>
    <mergeCell ref="C33:D33"/>
    <mergeCell ref="C34:D34"/>
    <mergeCell ref="C35:D35"/>
    <mergeCell ref="C36:D36"/>
    <mergeCell ref="C37:D37"/>
    <mergeCell ref="C23:D23"/>
    <mergeCell ref="C24:D24"/>
    <mergeCell ref="C25:D25"/>
    <mergeCell ref="C26:D26"/>
    <mergeCell ref="C27:D27"/>
    <mergeCell ref="C28:D28"/>
    <mergeCell ref="C29:D2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sheetPr>
  <sheetViews>
    <sheetView workbookViewId="0"/>
  </sheetViews>
  <sheetFormatPr customHeight="1" defaultColWidth="14.43" defaultRowHeight="15.0"/>
  <cols>
    <col customWidth="1" min="1" max="1" width="2.86"/>
    <col customWidth="1" min="2" max="2" width="4.14"/>
    <col customWidth="1" min="4" max="4" width="121.57"/>
    <col customWidth="1" min="5" max="5" width="4.29"/>
    <col customWidth="1" min="6" max="8" width="7.14"/>
    <col customWidth="1" min="9" max="9" width="85.71"/>
    <col customWidth="1" min="10" max="10" width="11.43"/>
    <col customWidth="1" min="11" max="11" width="14.14"/>
    <col customWidth="1" min="12" max="26" width="11.43"/>
  </cols>
  <sheetData>
    <row r="2" ht="21.75" customHeight="1">
      <c r="B2" s="26" t="s">
        <v>124</v>
      </c>
      <c r="C2" s="27"/>
      <c r="D2" s="27"/>
      <c r="E2" s="27"/>
      <c r="F2" s="27"/>
      <c r="G2" s="27"/>
      <c r="H2" s="27"/>
      <c r="I2" s="27"/>
      <c r="K2" s="28" t="s">
        <v>125</v>
      </c>
      <c r="L2" s="29"/>
    </row>
    <row r="3" ht="15.0" customHeight="1">
      <c r="B3" s="30"/>
      <c r="C3" s="30"/>
      <c r="D3" s="30"/>
      <c r="K3" s="31" t="s">
        <v>126</v>
      </c>
      <c r="L3" s="32">
        <f>COUNT(B12:D92)</f>
        <v>33</v>
      </c>
    </row>
    <row r="4">
      <c r="B4" s="33" t="s">
        <v>127</v>
      </c>
      <c r="C4" s="34" t="s">
        <v>128</v>
      </c>
      <c r="K4" s="31" t="s">
        <v>129</v>
      </c>
      <c r="L4" s="32">
        <f>COUNTIF(F12:F92,"X")</f>
        <v>33</v>
      </c>
    </row>
    <row r="5">
      <c r="B5" s="33" t="s">
        <v>130</v>
      </c>
      <c r="C5" s="34" t="s">
        <v>131</v>
      </c>
    </row>
    <row r="6">
      <c r="B6" s="33" t="s">
        <v>132</v>
      </c>
      <c r="C6" s="34" t="s">
        <v>133</v>
      </c>
      <c r="K6" s="31" t="s">
        <v>134</v>
      </c>
      <c r="L6" s="35" t="str">
        <f>PERCENTOF(L4,L3)</f>
        <v>#NAME?</v>
      </c>
    </row>
    <row r="7">
      <c r="B7" s="36" t="s">
        <v>135</v>
      </c>
      <c r="D7" s="34" t="s">
        <v>136</v>
      </c>
    </row>
    <row r="8">
      <c r="B8" s="66"/>
      <c r="C8" s="66"/>
      <c r="D8" s="34"/>
    </row>
    <row r="9">
      <c r="F9" s="37" t="s">
        <v>137</v>
      </c>
      <c r="G9" s="38"/>
      <c r="H9" s="39"/>
      <c r="I9" s="40" t="s">
        <v>138</v>
      </c>
    </row>
    <row r="10" ht="20.25" customHeight="1">
      <c r="B10" s="41" t="s">
        <v>167</v>
      </c>
      <c r="C10" s="42"/>
      <c r="D10" s="29"/>
      <c r="E10" s="43"/>
      <c r="F10" s="44" t="s">
        <v>127</v>
      </c>
      <c r="G10" s="45" t="s">
        <v>130</v>
      </c>
      <c r="H10" s="45" t="s">
        <v>132</v>
      </c>
      <c r="I10" s="46"/>
      <c r="J10" s="67"/>
    </row>
    <row r="11" ht="11.25" customHeight="1">
      <c r="B11" s="48"/>
      <c r="C11" s="49"/>
      <c r="D11" s="50"/>
      <c r="I11" s="51"/>
    </row>
    <row r="12" ht="37.5" customHeight="1">
      <c r="A12" s="68"/>
      <c r="B12" s="69">
        <v>1.0</v>
      </c>
      <c r="C12" s="56" t="s">
        <v>168</v>
      </c>
      <c r="D12" s="11"/>
      <c r="E12" s="54"/>
      <c r="F12" s="55" t="s">
        <v>169</v>
      </c>
      <c r="G12" s="55"/>
      <c r="H12" s="55"/>
      <c r="I12" s="31"/>
    </row>
    <row r="13" ht="33.75" customHeight="1">
      <c r="A13" s="68"/>
      <c r="B13" s="69">
        <v>2.0</v>
      </c>
      <c r="C13" s="56" t="s">
        <v>170</v>
      </c>
      <c r="D13" s="11"/>
      <c r="E13" s="54"/>
      <c r="F13" s="55" t="s">
        <v>169</v>
      </c>
      <c r="G13" s="55"/>
      <c r="H13" s="55"/>
      <c r="I13" s="31"/>
    </row>
    <row r="14" ht="31.5" customHeight="1">
      <c r="A14" s="68"/>
      <c r="B14" s="69">
        <v>3.0</v>
      </c>
      <c r="C14" s="56" t="s">
        <v>171</v>
      </c>
      <c r="D14" s="11"/>
      <c r="E14" s="54"/>
      <c r="F14" s="55" t="s">
        <v>141</v>
      </c>
      <c r="G14" s="55"/>
      <c r="H14" s="55"/>
      <c r="I14" s="31"/>
    </row>
    <row r="15" ht="37.5" customHeight="1">
      <c r="A15" s="68"/>
      <c r="B15" s="69">
        <v>4.0</v>
      </c>
      <c r="C15" s="57" t="s">
        <v>172</v>
      </c>
      <c r="D15" s="11"/>
      <c r="E15" s="54"/>
      <c r="F15" s="55" t="s">
        <v>169</v>
      </c>
      <c r="G15" s="55"/>
      <c r="H15" s="55"/>
      <c r="I15" s="31"/>
    </row>
    <row r="16" ht="37.5" customHeight="1">
      <c r="A16" s="68"/>
      <c r="B16" s="69">
        <v>5.0</v>
      </c>
      <c r="C16" s="56" t="s">
        <v>173</v>
      </c>
      <c r="D16" s="11"/>
      <c r="F16" s="55" t="s">
        <v>141</v>
      </c>
      <c r="G16" s="55"/>
      <c r="H16" s="55"/>
      <c r="I16" s="31"/>
    </row>
    <row r="17" ht="33.75" customHeight="1">
      <c r="A17" s="68"/>
      <c r="B17" s="69">
        <v>6.0</v>
      </c>
      <c r="C17" s="56" t="s">
        <v>174</v>
      </c>
      <c r="D17" s="11"/>
      <c r="F17" s="55" t="s">
        <v>169</v>
      </c>
      <c r="G17" s="55"/>
      <c r="H17" s="55"/>
      <c r="I17" s="31"/>
    </row>
    <row r="18" ht="30.75" customHeight="1">
      <c r="A18" s="68"/>
      <c r="B18" s="69">
        <v>7.0</v>
      </c>
      <c r="C18" s="56" t="s">
        <v>175</v>
      </c>
      <c r="D18" s="11"/>
      <c r="F18" s="55" t="s">
        <v>169</v>
      </c>
      <c r="G18" s="55"/>
      <c r="H18" s="55"/>
      <c r="I18" s="31"/>
    </row>
    <row r="19" ht="34.5" customHeight="1">
      <c r="A19" s="68"/>
      <c r="B19" s="69">
        <v>8.0</v>
      </c>
      <c r="C19" s="56" t="s">
        <v>176</v>
      </c>
      <c r="D19" s="11"/>
      <c r="F19" s="55" t="s">
        <v>169</v>
      </c>
      <c r="G19" s="55"/>
      <c r="H19" s="55"/>
      <c r="I19" s="31"/>
    </row>
    <row r="20" ht="24.75" customHeight="1">
      <c r="A20" s="68"/>
      <c r="B20" s="69">
        <v>9.0</v>
      </c>
      <c r="C20" s="70" t="s">
        <v>177</v>
      </c>
      <c r="D20" s="11"/>
      <c r="F20" s="55" t="s">
        <v>169</v>
      </c>
      <c r="G20" s="55"/>
      <c r="H20" s="55"/>
      <c r="I20" s="31"/>
    </row>
    <row r="21" ht="24.75" customHeight="1">
      <c r="A21" s="68"/>
      <c r="B21" s="69">
        <v>10.0</v>
      </c>
      <c r="C21" s="56" t="s">
        <v>178</v>
      </c>
      <c r="D21" s="11"/>
      <c r="F21" s="55" t="s">
        <v>169</v>
      </c>
      <c r="G21" s="55"/>
      <c r="H21" s="55"/>
      <c r="I21" s="31"/>
    </row>
    <row r="22" ht="24.75" customHeight="1">
      <c r="A22" s="68"/>
      <c r="B22" s="69">
        <v>11.0</v>
      </c>
      <c r="C22" s="56" t="s">
        <v>179</v>
      </c>
      <c r="D22" s="11"/>
      <c r="F22" s="55" t="s">
        <v>169</v>
      </c>
      <c r="G22" s="55"/>
      <c r="H22" s="55"/>
      <c r="I22" s="31"/>
    </row>
    <row r="23" ht="15.75" customHeight="1">
      <c r="A23" s="68"/>
      <c r="B23" s="69">
        <v>12.0</v>
      </c>
      <c r="C23" s="71" t="s">
        <v>180</v>
      </c>
      <c r="D23" s="72"/>
      <c r="F23" s="55" t="s">
        <v>169</v>
      </c>
      <c r="G23" s="55"/>
      <c r="H23" s="55"/>
      <c r="I23" s="31"/>
    </row>
    <row r="24" ht="24.75" customHeight="1">
      <c r="B24" s="69">
        <v>13.0</v>
      </c>
      <c r="C24" s="73" t="s">
        <v>181</v>
      </c>
      <c r="D24" s="11"/>
      <c r="F24" s="55" t="s">
        <v>141</v>
      </c>
      <c r="G24" s="74"/>
      <c r="H24" s="55"/>
      <c r="I24" s="74"/>
    </row>
    <row r="25" ht="15.75" customHeight="1">
      <c r="B25" s="69">
        <v>14.0</v>
      </c>
      <c r="C25" s="73" t="s">
        <v>182</v>
      </c>
      <c r="D25" s="11"/>
      <c r="F25" s="55" t="s">
        <v>169</v>
      </c>
      <c r="G25" s="74"/>
      <c r="H25" s="55"/>
      <c r="I25" s="74"/>
    </row>
    <row r="26" ht="15.75" customHeight="1">
      <c r="B26" s="69">
        <v>15.0</v>
      </c>
      <c r="C26" s="75" t="s">
        <v>183</v>
      </c>
      <c r="D26" s="76"/>
      <c r="F26" s="77" t="s">
        <v>141</v>
      </c>
      <c r="G26" s="78"/>
      <c r="H26" s="77"/>
      <c r="I26" s="78"/>
    </row>
    <row r="27" ht="15.75" customHeight="1">
      <c r="B27" s="69">
        <v>16.0</v>
      </c>
      <c r="C27" s="79" t="s">
        <v>184</v>
      </c>
      <c r="D27" s="11"/>
      <c r="F27" s="32" t="s">
        <v>141</v>
      </c>
      <c r="G27" s="31"/>
      <c r="H27" s="55"/>
      <c r="I27" s="31"/>
    </row>
    <row r="28" ht="15.75" customHeight="1">
      <c r="B28" s="69">
        <v>17.0</v>
      </c>
      <c r="C28" s="79" t="s">
        <v>185</v>
      </c>
      <c r="D28" s="11"/>
      <c r="F28" s="32" t="s">
        <v>141</v>
      </c>
      <c r="G28" s="31"/>
      <c r="H28" s="55"/>
      <c r="I28" s="31"/>
    </row>
    <row r="29" ht="15.75" customHeight="1">
      <c r="B29" s="69">
        <v>18.0</v>
      </c>
      <c r="C29" s="79" t="s">
        <v>186</v>
      </c>
      <c r="D29" s="11"/>
      <c r="F29" s="55" t="s">
        <v>169</v>
      </c>
      <c r="G29" s="31"/>
      <c r="H29" s="55"/>
      <c r="I29" s="31"/>
    </row>
    <row r="30" ht="15.75" customHeight="1">
      <c r="B30" s="69">
        <v>19.0</v>
      </c>
      <c r="C30" s="79" t="s">
        <v>187</v>
      </c>
      <c r="D30" s="11"/>
      <c r="F30" s="55" t="s">
        <v>141</v>
      </c>
      <c r="G30" s="31"/>
      <c r="H30" s="55"/>
      <c r="I30" s="31"/>
    </row>
    <row r="31" ht="15.75" customHeight="1">
      <c r="B31" s="69">
        <v>20.0</v>
      </c>
      <c r="C31" s="79" t="s">
        <v>188</v>
      </c>
      <c r="D31" s="11"/>
      <c r="F31" s="55" t="s">
        <v>169</v>
      </c>
      <c r="G31" s="31"/>
      <c r="H31" s="55"/>
      <c r="I31" s="31"/>
    </row>
    <row r="32" ht="15.75" customHeight="1">
      <c r="B32" s="69">
        <v>21.0</v>
      </c>
      <c r="C32" s="79" t="s">
        <v>189</v>
      </c>
      <c r="D32" s="11"/>
      <c r="F32" s="55" t="s">
        <v>169</v>
      </c>
      <c r="G32" s="31"/>
      <c r="H32" s="55"/>
      <c r="I32" s="31"/>
    </row>
    <row r="33" ht="15.75" customHeight="1">
      <c r="B33" s="69">
        <v>22.0</v>
      </c>
      <c r="C33" s="79" t="s">
        <v>190</v>
      </c>
      <c r="D33" s="11"/>
      <c r="F33" s="55" t="s">
        <v>169</v>
      </c>
      <c r="G33" s="31"/>
      <c r="H33" s="55"/>
      <c r="I33" s="31"/>
    </row>
    <row r="34" ht="15.75" customHeight="1">
      <c r="B34" s="69">
        <v>23.0</v>
      </c>
      <c r="C34" s="79" t="s">
        <v>191</v>
      </c>
      <c r="D34" s="11"/>
      <c r="F34" s="55" t="s">
        <v>169</v>
      </c>
      <c r="G34" s="31"/>
      <c r="H34" s="55"/>
      <c r="I34" s="31"/>
    </row>
    <row r="35" ht="15.75" customHeight="1">
      <c r="B35" s="69">
        <v>24.0</v>
      </c>
      <c r="C35" s="79" t="s">
        <v>192</v>
      </c>
      <c r="D35" s="11"/>
      <c r="F35" s="55" t="s">
        <v>141</v>
      </c>
      <c r="G35" s="31"/>
      <c r="H35" s="55"/>
      <c r="I35" s="31"/>
    </row>
    <row r="36" ht="15.75" customHeight="1">
      <c r="B36" s="69">
        <v>25.0</v>
      </c>
      <c r="C36" s="79" t="s">
        <v>193</v>
      </c>
      <c r="D36" s="11"/>
      <c r="F36" s="55" t="s">
        <v>169</v>
      </c>
      <c r="G36" s="31"/>
      <c r="H36" s="55"/>
      <c r="I36" s="31"/>
    </row>
    <row r="37" ht="15.75" customHeight="1">
      <c r="B37" s="69">
        <v>26.0</v>
      </c>
      <c r="C37" s="79" t="s">
        <v>194</v>
      </c>
      <c r="D37" s="11"/>
      <c r="F37" s="55" t="s">
        <v>169</v>
      </c>
      <c r="G37" s="31"/>
      <c r="H37" s="55"/>
      <c r="I37" s="31"/>
    </row>
    <row r="38" ht="15.75" customHeight="1">
      <c r="B38" s="69">
        <v>27.0</v>
      </c>
      <c r="C38" s="79" t="s">
        <v>195</v>
      </c>
      <c r="D38" s="11"/>
      <c r="F38" s="55" t="s">
        <v>169</v>
      </c>
      <c r="G38" s="31"/>
      <c r="H38" s="55"/>
      <c r="I38" s="31"/>
    </row>
    <row r="39" ht="15.75" customHeight="1">
      <c r="B39" s="69">
        <v>28.0</v>
      </c>
      <c r="C39" s="79" t="s">
        <v>196</v>
      </c>
      <c r="D39" s="11"/>
      <c r="F39" s="55" t="s">
        <v>169</v>
      </c>
      <c r="G39" s="31"/>
      <c r="H39" s="55"/>
      <c r="I39" s="31"/>
    </row>
    <row r="40" ht="15.75" customHeight="1">
      <c r="B40" s="69">
        <v>29.0</v>
      </c>
      <c r="C40" s="79" t="s">
        <v>197</v>
      </c>
      <c r="D40" s="11"/>
      <c r="F40" s="55" t="s">
        <v>169</v>
      </c>
      <c r="G40" s="31"/>
      <c r="H40" s="55"/>
      <c r="I40" s="31"/>
    </row>
    <row r="41" ht="15.75" customHeight="1">
      <c r="B41" s="69">
        <v>30.0</v>
      </c>
      <c r="C41" s="79" t="s">
        <v>198</v>
      </c>
      <c r="D41" s="11"/>
      <c r="F41" s="55" t="s">
        <v>141</v>
      </c>
      <c r="G41" s="31"/>
      <c r="H41" s="55"/>
      <c r="I41" s="31"/>
    </row>
    <row r="42" ht="15.75" customHeight="1">
      <c r="B42" s="69">
        <v>31.0</v>
      </c>
      <c r="C42" s="79" t="s">
        <v>199</v>
      </c>
      <c r="D42" s="11"/>
      <c r="F42" s="55" t="s">
        <v>169</v>
      </c>
      <c r="G42" s="31"/>
      <c r="H42" s="55"/>
      <c r="I42" s="31"/>
    </row>
    <row r="43" ht="15.75" customHeight="1">
      <c r="B43" s="69">
        <v>32.0</v>
      </c>
      <c r="C43" s="79" t="s">
        <v>200</v>
      </c>
      <c r="D43" s="11"/>
      <c r="F43" s="55" t="s">
        <v>169</v>
      </c>
      <c r="G43" s="31"/>
      <c r="H43" s="55"/>
      <c r="I43" s="31"/>
    </row>
    <row r="44" ht="15.75" customHeight="1">
      <c r="B44" s="69">
        <v>33.0</v>
      </c>
      <c r="C44" s="79" t="s">
        <v>201</v>
      </c>
      <c r="D44" s="11"/>
      <c r="F44" s="55" t="s">
        <v>169</v>
      </c>
      <c r="G44" s="31"/>
      <c r="H44" s="55"/>
      <c r="I44" s="31"/>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7:D37"/>
    <mergeCell ref="C38:D38"/>
    <mergeCell ref="C39:D39"/>
    <mergeCell ref="C40:D40"/>
    <mergeCell ref="C41:D41"/>
    <mergeCell ref="C42:D42"/>
    <mergeCell ref="C43:D43"/>
    <mergeCell ref="C44:D44"/>
    <mergeCell ref="C30:D30"/>
    <mergeCell ref="C31:D31"/>
    <mergeCell ref="C32:D32"/>
    <mergeCell ref="C33:D33"/>
    <mergeCell ref="C34:D34"/>
    <mergeCell ref="C35:D35"/>
    <mergeCell ref="C36:D36"/>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pageSetUpPr/>
  </sheetPr>
  <sheetViews>
    <sheetView workbookViewId="0"/>
  </sheetViews>
  <sheetFormatPr customHeight="1" defaultColWidth="14.43" defaultRowHeight="15.0"/>
  <cols>
    <col customWidth="1" min="1" max="1" width="8.71"/>
    <col customWidth="1" min="2" max="2" width="4.29"/>
    <col customWidth="1" min="3" max="3" width="8.71"/>
    <col customWidth="1" min="4" max="4" width="110.57"/>
    <col customWidth="1" min="5" max="8" width="8.71"/>
    <col customWidth="1" min="9" max="9" width="52.0"/>
    <col customWidth="1" min="10" max="10" width="8.71"/>
    <col customWidth="1" min="11" max="11" width="14.14"/>
    <col customWidth="1" min="12" max="26" width="8.71"/>
  </cols>
  <sheetData>
    <row r="2">
      <c r="B2" s="26" t="s">
        <v>124</v>
      </c>
      <c r="C2" s="27"/>
      <c r="D2" s="27"/>
      <c r="E2" s="27"/>
      <c r="F2" s="27"/>
      <c r="G2" s="27"/>
      <c r="H2" s="27"/>
      <c r="I2" s="27"/>
      <c r="K2" s="80" t="s">
        <v>125</v>
      </c>
      <c r="L2" s="29"/>
    </row>
    <row r="3">
      <c r="B3" s="30"/>
      <c r="C3" s="30"/>
      <c r="D3" s="30"/>
      <c r="K3" s="31" t="s">
        <v>126</v>
      </c>
      <c r="L3" s="32">
        <f>COUNT(B12:D99)</f>
        <v>24</v>
      </c>
    </row>
    <row r="4">
      <c r="B4" s="33" t="s">
        <v>127</v>
      </c>
      <c r="C4" s="34" t="s">
        <v>128</v>
      </c>
      <c r="K4" s="31" t="s">
        <v>129</v>
      </c>
      <c r="L4" s="32">
        <f>COUNTIF(F12:F99,"X")</f>
        <v>24</v>
      </c>
    </row>
    <row r="5">
      <c r="B5" s="33" t="s">
        <v>130</v>
      </c>
      <c r="C5" s="34" t="s">
        <v>131</v>
      </c>
    </row>
    <row r="6">
      <c r="B6" s="33" t="s">
        <v>132</v>
      </c>
      <c r="C6" s="34" t="s">
        <v>133</v>
      </c>
      <c r="K6" s="31" t="s">
        <v>134</v>
      </c>
      <c r="L6" s="35" t="str">
        <f>PERCENTOF(L4,L3)</f>
        <v>#NAME?</v>
      </c>
    </row>
    <row r="7">
      <c r="B7" s="36" t="s">
        <v>135</v>
      </c>
      <c r="D7" s="34" t="s">
        <v>136</v>
      </c>
    </row>
    <row r="9">
      <c r="F9" s="37" t="s">
        <v>137</v>
      </c>
      <c r="G9" s="38"/>
      <c r="H9" s="39"/>
      <c r="I9" s="40" t="s">
        <v>138</v>
      </c>
    </row>
    <row r="10">
      <c r="B10" s="80" t="s">
        <v>202</v>
      </c>
      <c r="C10" s="42"/>
      <c r="D10" s="29"/>
      <c r="E10" s="43"/>
      <c r="F10" s="44" t="s">
        <v>127</v>
      </c>
      <c r="G10" s="45" t="s">
        <v>130</v>
      </c>
      <c r="H10" s="45" t="s">
        <v>132</v>
      </c>
      <c r="I10" s="46"/>
      <c r="K10" s="47"/>
    </row>
    <row r="11">
      <c r="B11" s="48"/>
      <c r="C11" s="49"/>
      <c r="D11" s="50"/>
      <c r="I11" s="51"/>
    </row>
    <row r="12" ht="34.5" customHeight="1">
      <c r="B12" s="81">
        <v>1.0</v>
      </c>
      <c r="C12" s="56" t="s">
        <v>203</v>
      </c>
      <c r="D12" s="11"/>
      <c r="E12" s="54"/>
      <c r="F12" s="55" t="s">
        <v>169</v>
      </c>
      <c r="G12" s="55"/>
      <c r="H12" s="55"/>
      <c r="I12" s="82" t="s">
        <v>204</v>
      </c>
    </row>
    <row r="13">
      <c r="B13" s="81">
        <v>2.0</v>
      </c>
      <c r="C13" s="83" t="s">
        <v>205</v>
      </c>
      <c r="D13" s="11"/>
      <c r="E13" s="54"/>
      <c r="F13" s="55" t="s">
        <v>141</v>
      </c>
      <c r="G13" s="55"/>
      <c r="H13" s="55"/>
      <c r="I13" s="82" t="s">
        <v>204</v>
      </c>
    </row>
    <row r="14">
      <c r="B14" s="81">
        <v>3.0</v>
      </c>
      <c r="C14" s="57" t="s">
        <v>206</v>
      </c>
      <c r="D14" s="11"/>
      <c r="E14" s="54"/>
      <c r="F14" s="55" t="s">
        <v>141</v>
      </c>
      <c r="G14" s="55"/>
      <c r="H14" s="55"/>
      <c r="I14" s="82" t="s">
        <v>204</v>
      </c>
    </row>
    <row r="15">
      <c r="B15" s="81">
        <v>4.0</v>
      </c>
      <c r="C15" s="83" t="s">
        <v>207</v>
      </c>
      <c r="D15" s="11"/>
      <c r="E15" s="54"/>
      <c r="F15" s="55" t="s">
        <v>141</v>
      </c>
      <c r="G15" s="55"/>
      <c r="H15" s="55"/>
      <c r="I15" s="82" t="s">
        <v>204</v>
      </c>
    </row>
    <row r="16">
      <c r="B16" s="81">
        <v>5.0</v>
      </c>
      <c r="C16" s="73" t="s">
        <v>208</v>
      </c>
      <c r="D16" s="11"/>
      <c r="E16" s="54"/>
      <c r="F16" s="55" t="s">
        <v>141</v>
      </c>
      <c r="G16" s="55"/>
      <c r="H16" s="55"/>
      <c r="I16" s="82" t="s">
        <v>204</v>
      </c>
    </row>
    <row r="17" ht="18.75" customHeight="1">
      <c r="B17" s="81">
        <v>6.0</v>
      </c>
      <c r="C17" s="73" t="s">
        <v>209</v>
      </c>
      <c r="D17" s="11"/>
      <c r="F17" s="55" t="s">
        <v>141</v>
      </c>
      <c r="G17" s="55"/>
      <c r="H17" s="55"/>
      <c r="I17" s="82" t="s">
        <v>204</v>
      </c>
    </row>
    <row r="18">
      <c r="B18" s="81">
        <v>7.0</v>
      </c>
      <c r="C18" s="73" t="s">
        <v>210</v>
      </c>
      <c r="D18" s="11"/>
      <c r="F18" s="55" t="s">
        <v>141</v>
      </c>
      <c r="G18" s="55"/>
      <c r="H18" s="55"/>
      <c r="I18" s="82" t="s">
        <v>204</v>
      </c>
    </row>
    <row r="19">
      <c r="B19" s="81">
        <v>8.0</v>
      </c>
      <c r="C19" s="73" t="s">
        <v>211</v>
      </c>
      <c r="D19" s="11"/>
      <c r="F19" s="55" t="s">
        <v>141</v>
      </c>
      <c r="G19" s="55"/>
      <c r="H19" s="55"/>
      <c r="I19" s="82" t="s">
        <v>204</v>
      </c>
    </row>
    <row r="20">
      <c r="B20" s="81">
        <v>9.0</v>
      </c>
      <c r="C20" s="79" t="s">
        <v>212</v>
      </c>
      <c r="D20" s="11"/>
      <c r="F20" s="55" t="s">
        <v>141</v>
      </c>
      <c r="G20" s="55"/>
      <c r="H20" s="55"/>
      <c r="I20" s="82" t="s">
        <v>204</v>
      </c>
    </row>
    <row r="21" ht="15.75" customHeight="1">
      <c r="B21" s="81">
        <v>10.0</v>
      </c>
      <c r="C21" s="79" t="s">
        <v>213</v>
      </c>
      <c r="D21" s="11"/>
      <c r="F21" s="55" t="s">
        <v>141</v>
      </c>
      <c r="G21" s="55"/>
      <c r="H21" s="55"/>
      <c r="I21" s="82" t="s">
        <v>204</v>
      </c>
    </row>
    <row r="22" ht="15.75" customHeight="1">
      <c r="B22" s="81">
        <v>11.0</v>
      </c>
      <c r="C22" s="79" t="s">
        <v>214</v>
      </c>
      <c r="D22" s="11"/>
      <c r="F22" s="55" t="s">
        <v>141</v>
      </c>
      <c r="G22" s="55"/>
      <c r="H22" s="55"/>
      <c r="I22" s="82" t="s">
        <v>204</v>
      </c>
    </row>
    <row r="23" ht="15.75" customHeight="1">
      <c r="B23" s="81">
        <v>12.0</v>
      </c>
      <c r="C23" s="79" t="s">
        <v>215</v>
      </c>
      <c r="D23" s="11"/>
      <c r="F23" s="55" t="s">
        <v>141</v>
      </c>
      <c r="G23" s="55"/>
      <c r="H23" s="55"/>
      <c r="I23" s="82" t="s">
        <v>204</v>
      </c>
    </row>
    <row r="24" ht="15.75" customHeight="1">
      <c r="B24" s="81">
        <v>13.0</v>
      </c>
      <c r="C24" s="79" t="s">
        <v>216</v>
      </c>
      <c r="D24" s="11"/>
      <c r="F24" s="55" t="s">
        <v>141</v>
      </c>
      <c r="G24" s="55"/>
      <c r="H24" s="55"/>
      <c r="I24" s="82" t="s">
        <v>204</v>
      </c>
    </row>
    <row r="25" ht="15.75" customHeight="1">
      <c r="B25" s="81">
        <v>14.0</v>
      </c>
      <c r="C25" s="79" t="s">
        <v>217</v>
      </c>
      <c r="D25" s="11"/>
      <c r="E25" s="65"/>
      <c r="F25" s="55" t="s">
        <v>141</v>
      </c>
      <c r="G25" s="55"/>
      <c r="H25" s="55"/>
      <c r="I25" s="82" t="s">
        <v>204</v>
      </c>
    </row>
    <row r="26" ht="15.75" customHeight="1">
      <c r="B26" s="81">
        <v>15.0</v>
      </c>
      <c r="C26" s="79" t="s">
        <v>218</v>
      </c>
      <c r="D26" s="11"/>
      <c r="F26" s="55" t="s">
        <v>141</v>
      </c>
      <c r="G26" s="55"/>
      <c r="H26" s="55"/>
      <c r="I26" s="82" t="s">
        <v>204</v>
      </c>
    </row>
    <row r="27" ht="15.75" customHeight="1">
      <c r="B27" s="81">
        <v>16.0</v>
      </c>
      <c r="C27" s="79" t="s">
        <v>219</v>
      </c>
      <c r="D27" s="11"/>
      <c r="F27" s="55" t="s">
        <v>141</v>
      </c>
      <c r="G27" s="55"/>
      <c r="H27" s="55"/>
      <c r="I27" s="82" t="s">
        <v>204</v>
      </c>
    </row>
    <row r="28" ht="15.75" customHeight="1">
      <c r="B28" s="81">
        <v>17.0</v>
      </c>
      <c r="C28" s="79" t="s">
        <v>220</v>
      </c>
      <c r="D28" s="11"/>
      <c r="F28" s="55" t="s">
        <v>141</v>
      </c>
      <c r="G28" s="55"/>
      <c r="H28" s="55"/>
      <c r="I28" s="82" t="s">
        <v>204</v>
      </c>
    </row>
    <row r="29" ht="15.75" customHeight="1">
      <c r="B29" s="81">
        <v>18.0</v>
      </c>
      <c r="C29" s="79" t="s">
        <v>221</v>
      </c>
      <c r="D29" s="11"/>
      <c r="F29" s="55" t="s">
        <v>141</v>
      </c>
      <c r="G29" s="55"/>
      <c r="H29" s="55"/>
      <c r="I29" s="82" t="s">
        <v>204</v>
      </c>
    </row>
    <row r="30" ht="15.75" customHeight="1">
      <c r="B30" s="81">
        <v>19.0</v>
      </c>
      <c r="C30" s="79" t="s">
        <v>222</v>
      </c>
      <c r="D30" s="11"/>
      <c r="F30" s="55" t="s">
        <v>141</v>
      </c>
      <c r="G30" s="55"/>
      <c r="H30" s="55"/>
      <c r="I30" s="82" t="s">
        <v>204</v>
      </c>
    </row>
    <row r="31" ht="15.75" customHeight="1">
      <c r="B31" s="81">
        <v>20.0</v>
      </c>
      <c r="C31" s="79" t="s">
        <v>223</v>
      </c>
      <c r="D31" s="11"/>
      <c r="F31" s="55" t="s">
        <v>141</v>
      </c>
      <c r="G31" s="55"/>
      <c r="H31" s="55"/>
      <c r="I31" s="82" t="s">
        <v>204</v>
      </c>
    </row>
    <row r="32" ht="15.75" customHeight="1">
      <c r="B32" s="81">
        <v>21.0</v>
      </c>
      <c r="C32" s="79" t="s">
        <v>224</v>
      </c>
      <c r="D32" s="11"/>
      <c r="F32" s="55" t="s">
        <v>141</v>
      </c>
      <c r="G32" s="55"/>
      <c r="H32" s="55"/>
      <c r="I32" s="82" t="s">
        <v>204</v>
      </c>
    </row>
    <row r="33" ht="15.75" customHeight="1">
      <c r="B33" s="81">
        <v>22.0</v>
      </c>
      <c r="C33" s="79" t="s">
        <v>225</v>
      </c>
      <c r="D33" s="11"/>
      <c r="F33" s="55" t="s">
        <v>141</v>
      </c>
      <c r="G33" s="55"/>
      <c r="H33" s="55"/>
      <c r="I33" s="82" t="s">
        <v>204</v>
      </c>
    </row>
    <row r="34" ht="15.75" customHeight="1">
      <c r="B34" s="81">
        <v>23.0</v>
      </c>
      <c r="C34" s="79" t="s">
        <v>226</v>
      </c>
      <c r="D34" s="11"/>
      <c r="F34" s="55" t="s">
        <v>141</v>
      </c>
      <c r="G34" s="55"/>
      <c r="H34" s="55"/>
      <c r="I34" s="82" t="s">
        <v>204</v>
      </c>
    </row>
    <row r="35" ht="15.75" customHeight="1">
      <c r="B35" s="81">
        <v>24.0</v>
      </c>
      <c r="C35" s="79" t="s">
        <v>227</v>
      </c>
      <c r="D35" s="11"/>
      <c r="F35" s="55" t="s">
        <v>141</v>
      </c>
      <c r="G35" s="55"/>
      <c r="H35" s="55"/>
      <c r="I35" s="82" t="s">
        <v>204</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16:D16"/>
    <mergeCell ref="C17:D17"/>
    <mergeCell ref="C18:D18"/>
    <mergeCell ref="C19:D19"/>
    <mergeCell ref="C20:D20"/>
    <mergeCell ref="C21:D21"/>
    <mergeCell ref="C22:D22"/>
    <mergeCell ref="C30:D30"/>
    <mergeCell ref="C31:D31"/>
    <mergeCell ref="C32:D32"/>
    <mergeCell ref="C33:D33"/>
    <mergeCell ref="C34:D34"/>
    <mergeCell ref="C35:D35"/>
    <mergeCell ref="C23:D23"/>
    <mergeCell ref="C24:D24"/>
    <mergeCell ref="C25:D25"/>
    <mergeCell ref="C26:D26"/>
    <mergeCell ref="C27:D27"/>
    <mergeCell ref="C28:D28"/>
    <mergeCell ref="C29:D2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pageSetUpPr/>
  </sheetPr>
  <sheetViews>
    <sheetView workbookViewId="0"/>
  </sheetViews>
  <sheetFormatPr customHeight="1" defaultColWidth="14.43" defaultRowHeight="15.0"/>
  <cols>
    <col customWidth="1" min="1" max="1" width="2.86"/>
    <col customWidth="1" min="2" max="2" width="4.14"/>
    <col customWidth="1" min="4" max="4" width="121.57"/>
    <col customWidth="1" min="5" max="5" width="4.29"/>
    <col customWidth="1" min="6" max="8" width="7.14"/>
    <col customWidth="1" min="9" max="9" width="85.71"/>
    <col customWidth="1" min="10" max="10" width="11.43"/>
    <col customWidth="1" min="11" max="11" width="14.14"/>
    <col customWidth="1" min="12" max="26" width="11.43"/>
  </cols>
  <sheetData>
    <row r="1" ht="49.5" customHeight="1">
      <c r="A1" s="84"/>
      <c r="B1" s="84"/>
      <c r="C1" s="84"/>
      <c r="D1" s="84"/>
      <c r="E1" s="84"/>
      <c r="F1" s="84"/>
      <c r="G1" s="84"/>
      <c r="H1" s="84"/>
      <c r="I1" s="84"/>
      <c r="J1" s="84"/>
      <c r="K1" s="84"/>
      <c r="L1" s="84"/>
      <c r="M1" s="84"/>
      <c r="N1" s="84"/>
      <c r="O1" s="84"/>
      <c r="P1" s="84"/>
      <c r="Q1" s="84"/>
      <c r="R1" s="84"/>
      <c r="S1" s="84"/>
      <c r="T1" s="84"/>
      <c r="U1" s="84"/>
      <c r="V1" s="84"/>
      <c r="W1" s="84"/>
      <c r="X1" s="84"/>
      <c r="Y1" s="84"/>
      <c r="Z1" s="84"/>
    </row>
    <row r="2" ht="49.5" customHeight="1">
      <c r="A2" s="84"/>
      <c r="B2" s="26" t="s">
        <v>124</v>
      </c>
      <c r="C2" s="27"/>
      <c r="D2" s="27"/>
      <c r="E2" s="27"/>
      <c r="F2" s="27"/>
      <c r="G2" s="27"/>
      <c r="H2" s="27"/>
      <c r="I2" s="27"/>
      <c r="J2" s="84"/>
      <c r="K2" s="80" t="s">
        <v>125</v>
      </c>
      <c r="L2" s="29"/>
      <c r="M2" s="84"/>
      <c r="N2" s="84"/>
      <c r="O2" s="84"/>
      <c r="P2" s="84"/>
      <c r="Q2" s="84"/>
      <c r="R2" s="84"/>
      <c r="S2" s="84"/>
      <c r="T2" s="84"/>
      <c r="U2" s="84"/>
      <c r="V2" s="84"/>
      <c r="W2" s="84"/>
      <c r="X2" s="84"/>
      <c r="Y2" s="84"/>
      <c r="Z2" s="84"/>
    </row>
    <row r="3" ht="49.5" customHeight="1">
      <c r="A3" s="84"/>
      <c r="B3" s="85"/>
      <c r="C3" s="85"/>
      <c r="D3" s="85"/>
      <c r="E3" s="84"/>
      <c r="F3" s="84"/>
      <c r="G3" s="84"/>
      <c r="H3" s="84"/>
      <c r="I3" s="84"/>
      <c r="J3" s="84"/>
      <c r="K3" s="55" t="s">
        <v>126</v>
      </c>
      <c r="L3" s="55">
        <f>COUNT(B12:D33)</f>
        <v>20</v>
      </c>
      <c r="M3" s="84"/>
      <c r="N3" s="84"/>
      <c r="O3" s="84"/>
      <c r="P3" s="84"/>
      <c r="Q3" s="84"/>
      <c r="R3" s="84"/>
      <c r="S3" s="84"/>
      <c r="T3" s="84"/>
      <c r="U3" s="84"/>
      <c r="V3" s="84"/>
      <c r="W3" s="84"/>
      <c r="X3" s="84"/>
      <c r="Y3" s="84"/>
      <c r="Z3" s="84"/>
    </row>
    <row r="4" ht="49.5" customHeight="1">
      <c r="A4" s="84"/>
      <c r="B4" s="86" t="s">
        <v>127</v>
      </c>
      <c r="C4" s="87" t="s">
        <v>128</v>
      </c>
      <c r="E4" s="84"/>
      <c r="F4" s="84"/>
      <c r="G4" s="84"/>
      <c r="H4" s="84"/>
      <c r="I4" s="84"/>
      <c r="J4" s="84"/>
      <c r="K4" s="55" t="s">
        <v>129</v>
      </c>
      <c r="L4" s="55">
        <f>COUNTIF(F12:F33,"X")</f>
        <v>20</v>
      </c>
      <c r="M4" s="84"/>
      <c r="N4" s="84"/>
      <c r="O4" s="84"/>
      <c r="P4" s="84"/>
      <c r="Q4" s="84"/>
      <c r="R4" s="84"/>
      <c r="S4" s="84"/>
      <c r="T4" s="84"/>
      <c r="U4" s="84"/>
      <c r="V4" s="84"/>
      <c r="W4" s="84"/>
      <c r="X4" s="84"/>
      <c r="Y4" s="84"/>
      <c r="Z4" s="84"/>
    </row>
    <row r="5" ht="49.5" customHeight="1">
      <c r="A5" s="84"/>
      <c r="B5" s="86" t="s">
        <v>130</v>
      </c>
      <c r="C5" s="87" t="s">
        <v>131</v>
      </c>
      <c r="E5" s="84"/>
      <c r="F5" s="84"/>
      <c r="G5" s="84"/>
      <c r="H5" s="84"/>
      <c r="I5" s="84"/>
      <c r="J5" s="84"/>
      <c r="K5" s="84"/>
      <c r="L5" s="84"/>
      <c r="M5" s="84"/>
      <c r="N5" s="84"/>
      <c r="O5" s="84"/>
      <c r="P5" s="84"/>
      <c r="Q5" s="84"/>
      <c r="R5" s="84"/>
      <c r="S5" s="84"/>
      <c r="T5" s="84"/>
      <c r="U5" s="84"/>
      <c r="V5" s="84"/>
      <c r="W5" s="84"/>
      <c r="X5" s="84"/>
      <c r="Y5" s="84"/>
      <c r="Z5" s="84"/>
    </row>
    <row r="6" ht="49.5" customHeight="1">
      <c r="A6" s="84"/>
      <c r="B6" s="86" t="s">
        <v>132</v>
      </c>
      <c r="C6" s="87" t="s">
        <v>133</v>
      </c>
      <c r="E6" s="84"/>
      <c r="F6" s="84"/>
      <c r="G6" s="84"/>
      <c r="H6" s="84"/>
      <c r="I6" s="84"/>
      <c r="J6" s="84"/>
      <c r="K6" s="55" t="s">
        <v>134</v>
      </c>
      <c r="L6" s="88" t="str">
        <f>PERCENTOF(L4,L3)</f>
        <v>#NAME?</v>
      </c>
      <c r="M6" s="84"/>
      <c r="N6" s="84"/>
      <c r="O6" s="84"/>
      <c r="P6" s="84"/>
      <c r="Q6" s="84"/>
      <c r="R6" s="84"/>
      <c r="S6" s="84"/>
      <c r="T6" s="84"/>
      <c r="U6" s="84"/>
      <c r="V6" s="84"/>
      <c r="W6" s="84"/>
      <c r="X6" s="84"/>
      <c r="Y6" s="84"/>
      <c r="Z6" s="84"/>
    </row>
    <row r="7" ht="49.5" customHeight="1">
      <c r="A7" s="84"/>
      <c r="B7" s="86" t="s">
        <v>135</v>
      </c>
      <c r="D7" s="87" t="s">
        <v>136</v>
      </c>
      <c r="E7" s="84"/>
      <c r="F7" s="84"/>
      <c r="G7" s="84"/>
      <c r="H7" s="84"/>
      <c r="I7" s="84"/>
      <c r="J7" s="84"/>
      <c r="K7" s="84"/>
      <c r="L7" s="84"/>
      <c r="M7" s="84"/>
      <c r="N7" s="84"/>
      <c r="O7" s="84"/>
      <c r="P7" s="84"/>
      <c r="Q7" s="84"/>
      <c r="R7" s="84"/>
      <c r="S7" s="84"/>
      <c r="T7" s="84"/>
      <c r="U7" s="84"/>
      <c r="V7" s="84"/>
      <c r="W7" s="84"/>
      <c r="X7" s="84"/>
      <c r="Y7" s="84"/>
      <c r="Z7" s="84"/>
    </row>
    <row r="8" ht="49.5" customHeight="1">
      <c r="A8" s="84"/>
      <c r="B8" s="86"/>
      <c r="C8" s="86"/>
      <c r="D8" s="87"/>
      <c r="E8" s="84"/>
      <c r="F8" s="84"/>
      <c r="G8" s="84"/>
      <c r="H8" s="84"/>
      <c r="I8" s="84"/>
      <c r="J8" s="84"/>
      <c r="K8" s="84"/>
      <c r="L8" s="84"/>
      <c r="M8" s="84"/>
      <c r="N8" s="84"/>
      <c r="O8" s="84"/>
      <c r="P8" s="84"/>
      <c r="Q8" s="84"/>
      <c r="R8" s="84"/>
      <c r="S8" s="84"/>
      <c r="T8" s="84"/>
      <c r="U8" s="84"/>
      <c r="V8" s="84"/>
      <c r="W8" s="84"/>
      <c r="X8" s="84"/>
      <c r="Y8" s="84"/>
      <c r="Z8" s="84"/>
    </row>
    <row r="9" ht="49.5" customHeight="1">
      <c r="A9" s="84"/>
      <c r="B9" s="89"/>
      <c r="C9" s="89"/>
      <c r="D9" s="89"/>
      <c r="E9" s="89"/>
      <c r="F9" s="90" t="s">
        <v>137</v>
      </c>
      <c r="G9" s="38"/>
      <c r="H9" s="39"/>
      <c r="I9" s="91" t="s">
        <v>138</v>
      </c>
      <c r="J9" s="89"/>
      <c r="K9" s="84"/>
      <c r="L9" s="84"/>
      <c r="M9" s="84"/>
      <c r="N9" s="84"/>
      <c r="O9" s="84"/>
      <c r="P9" s="84"/>
      <c r="Q9" s="84"/>
      <c r="R9" s="84"/>
      <c r="S9" s="84"/>
      <c r="T9" s="84"/>
      <c r="U9" s="84"/>
      <c r="V9" s="84"/>
      <c r="W9" s="84"/>
      <c r="X9" s="84"/>
      <c r="Y9" s="84"/>
      <c r="Z9" s="84"/>
    </row>
    <row r="10" ht="49.5" customHeight="1">
      <c r="A10" s="84"/>
      <c r="B10" s="92" t="s">
        <v>228</v>
      </c>
      <c r="C10" s="42"/>
      <c r="D10" s="29"/>
      <c r="E10" s="93"/>
      <c r="F10" s="94" t="s">
        <v>127</v>
      </c>
      <c r="G10" s="95" t="s">
        <v>130</v>
      </c>
      <c r="H10" s="95" t="s">
        <v>132</v>
      </c>
      <c r="I10" s="46"/>
      <c r="J10" s="93"/>
      <c r="K10" s="84"/>
      <c r="L10" s="84"/>
      <c r="M10" s="84"/>
      <c r="N10" s="84"/>
      <c r="O10" s="84"/>
      <c r="P10" s="84"/>
      <c r="Q10" s="84"/>
      <c r="R10" s="84"/>
      <c r="S10" s="84"/>
      <c r="T10" s="84"/>
      <c r="U10" s="84"/>
      <c r="V10" s="84"/>
      <c r="W10" s="84"/>
      <c r="X10" s="84"/>
      <c r="Y10" s="84"/>
      <c r="Z10" s="84"/>
    </row>
    <row r="11" ht="49.5" customHeight="1">
      <c r="A11" s="84"/>
      <c r="B11" s="96"/>
      <c r="C11" s="97"/>
      <c r="D11" s="50"/>
      <c r="E11" s="89"/>
      <c r="F11" s="89"/>
      <c r="G11" s="89"/>
      <c r="H11" s="89"/>
      <c r="I11" s="98"/>
      <c r="J11" s="89"/>
      <c r="K11" s="84"/>
      <c r="L11" s="84"/>
      <c r="M11" s="84"/>
      <c r="N11" s="84"/>
      <c r="O11" s="84"/>
      <c r="P11" s="84"/>
      <c r="Q11" s="84"/>
      <c r="R11" s="84"/>
      <c r="S11" s="84"/>
      <c r="T11" s="84"/>
      <c r="U11" s="84"/>
      <c r="V11" s="84"/>
      <c r="W11" s="84"/>
      <c r="X11" s="84"/>
      <c r="Y11" s="84"/>
      <c r="Z11" s="84"/>
    </row>
    <row r="12" ht="49.5" customHeight="1">
      <c r="A12" s="99"/>
      <c r="B12" s="100">
        <v>1.0</v>
      </c>
      <c r="C12" s="101" t="s">
        <v>229</v>
      </c>
      <c r="D12" s="11"/>
      <c r="E12" s="102"/>
      <c r="F12" s="103" t="s">
        <v>141</v>
      </c>
      <c r="G12" s="103"/>
      <c r="H12" s="103"/>
      <c r="I12" s="103"/>
      <c r="J12" s="89"/>
      <c r="K12" s="84"/>
      <c r="L12" s="84"/>
      <c r="M12" s="84"/>
      <c r="N12" s="84"/>
      <c r="O12" s="84"/>
      <c r="P12" s="84"/>
      <c r="Q12" s="84"/>
      <c r="R12" s="84"/>
      <c r="S12" s="84"/>
      <c r="T12" s="84"/>
      <c r="U12" s="84"/>
      <c r="V12" s="84"/>
      <c r="W12" s="84"/>
      <c r="X12" s="84"/>
      <c r="Y12" s="84"/>
      <c r="Z12" s="84"/>
    </row>
    <row r="13" ht="49.5" customHeight="1">
      <c r="A13" s="99"/>
      <c r="B13" s="100">
        <v>2.0</v>
      </c>
      <c r="C13" s="101" t="s">
        <v>230</v>
      </c>
      <c r="D13" s="11"/>
      <c r="E13" s="102"/>
      <c r="F13" s="103" t="s">
        <v>141</v>
      </c>
      <c r="G13" s="103"/>
      <c r="H13" s="103"/>
      <c r="I13" s="103"/>
      <c r="J13" s="89"/>
      <c r="K13" s="84"/>
      <c r="L13" s="84"/>
      <c r="M13" s="84"/>
      <c r="N13" s="84"/>
      <c r="O13" s="84"/>
      <c r="P13" s="84"/>
      <c r="Q13" s="84"/>
      <c r="R13" s="84"/>
      <c r="S13" s="84"/>
      <c r="T13" s="84"/>
      <c r="U13" s="84"/>
      <c r="V13" s="84"/>
      <c r="W13" s="84"/>
      <c r="X13" s="84"/>
      <c r="Y13" s="84"/>
      <c r="Z13" s="84"/>
    </row>
    <row r="14" ht="49.5" customHeight="1">
      <c r="A14" s="99"/>
      <c r="B14" s="100">
        <v>3.0</v>
      </c>
      <c r="C14" s="101" t="s">
        <v>231</v>
      </c>
      <c r="D14" s="11"/>
      <c r="E14" s="102"/>
      <c r="F14" s="103" t="s">
        <v>141</v>
      </c>
      <c r="G14" s="103"/>
      <c r="H14" s="103"/>
      <c r="I14" s="103"/>
      <c r="J14" s="89"/>
      <c r="K14" s="84"/>
      <c r="L14" s="84"/>
      <c r="M14" s="84"/>
      <c r="N14" s="84"/>
      <c r="O14" s="84"/>
      <c r="P14" s="84"/>
      <c r="Q14" s="84"/>
      <c r="R14" s="84"/>
      <c r="S14" s="84"/>
      <c r="T14" s="84"/>
      <c r="U14" s="84"/>
      <c r="V14" s="84"/>
      <c r="W14" s="84"/>
      <c r="X14" s="84"/>
      <c r="Y14" s="84"/>
      <c r="Z14" s="84"/>
    </row>
    <row r="15" ht="49.5" customHeight="1">
      <c r="A15" s="99"/>
      <c r="B15" s="100">
        <v>4.0</v>
      </c>
      <c r="C15" s="101" t="s">
        <v>232</v>
      </c>
      <c r="D15" s="11"/>
      <c r="E15" s="102"/>
      <c r="F15" s="103" t="s">
        <v>141</v>
      </c>
      <c r="G15" s="103"/>
      <c r="H15" s="103"/>
      <c r="I15" s="103"/>
      <c r="J15" s="89"/>
      <c r="K15" s="84"/>
      <c r="L15" s="84"/>
      <c r="M15" s="84"/>
      <c r="N15" s="84"/>
      <c r="O15" s="84"/>
      <c r="P15" s="84"/>
      <c r="Q15" s="84"/>
      <c r="R15" s="84"/>
      <c r="S15" s="84"/>
      <c r="T15" s="84"/>
      <c r="U15" s="84"/>
      <c r="V15" s="84"/>
      <c r="W15" s="84"/>
      <c r="X15" s="84"/>
      <c r="Y15" s="84"/>
      <c r="Z15" s="84"/>
    </row>
    <row r="16" ht="49.5" customHeight="1">
      <c r="A16" s="99"/>
      <c r="B16" s="100">
        <v>5.0</v>
      </c>
      <c r="C16" s="101" t="s">
        <v>233</v>
      </c>
      <c r="D16" s="11"/>
      <c r="E16" s="89"/>
      <c r="F16" s="103" t="s">
        <v>141</v>
      </c>
      <c r="G16" s="103"/>
      <c r="H16" s="103"/>
      <c r="I16" s="103"/>
      <c r="J16" s="89"/>
      <c r="K16" s="84"/>
      <c r="L16" s="84"/>
      <c r="M16" s="84"/>
      <c r="N16" s="84"/>
      <c r="O16" s="84"/>
      <c r="P16" s="84"/>
      <c r="Q16" s="84"/>
      <c r="R16" s="84"/>
      <c r="S16" s="84"/>
      <c r="T16" s="84"/>
      <c r="U16" s="84"/>
      <c r="V16" s="84"/>
      <c r="W16" s="84"/>
      <c r="X16" s="84"/>
      <c r="Y16" s="84"/>
      <c r="Z16" s="84"/>
    </row>
    <row r="17" ht="49.5" customHeight="1">
      <c r="A17" s="99"/>
      <c r="B17" s="100">
        <v>6.0</v>
      </c>
      <c r="C17" s="101" t="s">
        <v>234</v>
      </c>
      <c r="D17" s="11"/>
      <c r="E17" s="89"/>
      <c r="F17" s="103" t="s">
        <v>141</v>
      </c>
      <c r="G17" s="103"/>
      <c r="H17" s="103"/>
      <c r="I17" s="103"/>
      <c r="J17" s="89"/>
      <c r="K17" s="84"/>
      <c r="L17" s="84"/>
      <c r="M17" s="84"/>
      <c r="N17" s="84"/>
      <c r="O17" s="84"/>
      <c r="P17" s="84"/>
      <c r="Q17" s="84"/>
      <c r="R17" s="84"/>
      <c r="S17" s="84"/>
      <c r="T17" s="84"/>
      <c r="U17" s="84"/>
      <c r="V17" s="84"/>
      <c r="W17" s="84"/>
      <c r="X17" s="84"/>
      <c r="Y17" s="84"/>
      <c r="Z17" s="84"/>
    </row>
    <row r="18" ht="49.5" customHeight="1">
      <c r="A18" s="99"/>
      <c r="B18" s="100">
        <v>7.0</v>
      </c>
      <c r="C18" s="101" t="s">
        <v>235</v>
      </c>
      <c r="D18" s="11"/>
      <c r="E18" s="89"/>
      <c r="F18" s="103" t="s">
        <v>141</v>
      </c>
      <c r="G18" s="103"/>
      <c r="H18" s="103"/>
      <c r="I18" s="103"/>
      <c r="J18" s="89"/>
      <c r="K18" s="84"/>
      <c r="L18" s="84"/>
      <c r="M18" s="84"/>
      <c r="N18" s="84"/>
      <c r="O18" s="84"/>
      <c r="P18" s="84"/>
      <c r="Q18" s="84"/>
      <c r="R18" s="84"/>
      <c r="S18" s="84"/>
      <c r="T18" s="84"/>
      <c r="U18" s="84"/>
      <c r="V18" s="84"/>
      <c r="W18" s="84"/>
      <c r="X18" s="84"/>
      <c r="Y18" s="84"/>
      <c r="Z18" s="84"/>
    </row>
    <row r="19" ht="49.5" customHeight="1">
      <c r="A19" s="99"/>
      <c r="B19" s="100">
        <v>8.0</v>
      </c>
      <c r="C19" s="101" t="s">
        <v>236</v>
      </c>
      <c r="D19" s="11"/>
      <c r="E19" s="89"/>
      <c r="F19" s="103" t="s">
        <v>141</v>
      </c>
      <c r="G19" s="103"/>
      <c r="H19" s="103"/>
      <c r="I19" s="103"/>
      <c r="J19" s="89"/>
      <c r="K19" s="84"/>
      <c r="L19" s="84"/>
      <c r="M19" s="84"/>
      <c r="N19" s="84"/>
      <c r="O19" s="84"/>
      <c r="P19" s="84"/>
      <c r="Q19" s="84"/>
      <c r="R19" s="84"/>
      <c r="S19" s="84"/>
      <c r="T19" s="84"/>
      <c r="U19" s="84"/>
      <c r="V19" s="84"/>
      <c r="W19" s="84"/>
      <c r="X19" s="84"/>
      <c r="Y19" s="84"/>
      <c r="Z19" s="84"/>
    </row>
    <row r="20" ht="49.5" customHeight="1">
      <c r="A20" s="99"/>
      <c r="B20" s="100">
        <v>9.0</v>
      </c>
      <c r="C20" s="101" t="s">
        <v>237</v>
      </c>
      <c r="D20" s="11"/>
      <c r="E20" s="89"/>
      <c r="F20" s="103" t="s">
        <v>141</v>
      </c>
      <c r="G20" s="103"/>
      <c r="H20" s="103"/>
      <c r="I20" s="103"/>
      <c r="J20" s="89"/>
      <c r="K20" s="84"/>
      <c r="L20" s="84"/>
      <c r="M20" s="84"/>
      <c r="N20" s="84"/>
      <c r="O20" s="84"/>
      <c r="P20" s="84"/>
      <c r="Q20" s="84"/>
      <c r="R20" s="84"/>
      <c r="S20" s="84"/>
      <c r="T20" s="84"/>
      <c r="U20" s="84"/>
      <c r="V20" s="84"/>
      <c r="W20" s="84"/>
      <c r="X20" s="84"/>
      <c r="Y20" s="84"/>
      <c r="Z20" s="84"/>
    </row>
    <row r="21" ht="49.5" customHeight="1">
      <c r="A21" s="99"/>
      <c r="B21" s="100">
        <v>10.0</v>
      </c>
      <c r="C21" s="101" t="s">
        <v>238</v>
      </c>
      <c r="D21" s="11"/>
      <c r="E21" s="89"/>
      <c r="F21" s="103" t="s">
        <v>141</v>
      </c>
      <c r="G21" s="103"/>
      <c r="H21" s="103"/>
      <c r="I21" s="103"/>
      <c r="J21" s="89"/>
      <c r="K21" s="84"/>
      <c r="L21" s="84"/>
      <c r="M21" s="84"/>
      <c r="N21" s="84"/>
      <c r="O21" s="84"/>
      <c r="P21" s="84"/>
      <c r="Q21" s="84"/>
      <c r="R21" s="84"/>
      <c r="S21" s="84"/>
      <c r="T21" s="84"/>
      <c r="U21" s="84"/>
      <c r="V21" s="84"/>
      <c r="W21" s="84"/>
      <c r="X21" s="84"/>
      <c r="Y21" s="84"/>
      <c r="Z21" s="84"/>
    </row>
    <row r="22" ht="49.5" customHeight="1">
      <c r="A22" s="99"/>
      <c r="B22" s="100">
        <v>11.0</v>
      </c>
      <c r="C22" s="104" t="s">
        <v>239</v>
      </c>
      <c r="D22" s="72"/>
      <c r="E22" s="89"/>
      <c r="F22" s="103" t="s">
        <v>141</v>
      </c>
      <c r="G22" s="103"/>
      <c r="H22" s="103"/>
      <c r="I22" s="103"/>
      <c r="J22" s="89"/>
      <c r="K22" s="84"/>
      <c r="L22" s="84"/>
      <c r="M22" s="84"/>
      <c r="N22" s="84"/>
      <c r="O22" s="84"/>
      <c r="P22" s="84"/>
      <c r="Q22" s="84"/>
      <c r="R22" s="84"/>
      <c r="S22" s="84"/>
      <c r="T22" s="84"/>
      <c r="U22" s="84"/>
      <c r="V22" s="84"/>
      <c r="W22" s="84"/>
      <c r="X22" s="84"/>
      <c r="Y22" s="84"/>
      <c r="Z22" s="84"/>
    </row>
    <row r="23" ht="49.5" customHeight="1">
      <c r="A23" s="99"/>
      <c r="B23" s="100">
        <v>12.0</v>
      </c>
      <c r="C23" s="101" t="s">
        <v>240</v>
      </c>
      <c r="D23" s="11"/>
      <c r="E23" s="89"/>
      <c r="F23" s="103" t="s">
        <v>141</v>
      </c>
      <c r="G23" s="103"/>
      <c r="H23" s="103"/>
      <c r="I23" s="103"/>
      <c r="J23" s="89"/>
      <c r="K23" s="84"/>
      <c r="L23" s="84"/>
      <c r="M23" s="84"/>
      <c r="N23" s="84"/>
      <c r="O23" s="84"/>
      <c r="P23" s="84"/>
      <c r="Q23" s="84"/>
      <c r="R23" s="84"/>
      <c r="S23" s="84"/>
      <c r="T23" s="84"/>
      <c r="U23" s="84"/>
      <c r="V23" s="84"/>
      <c r="W23" s="84"/>
      <c r="X23" s="84"/>
      <c r="Y23" s="84"/>
      <c r="Z23" s="84"/>
    </row>
    <row r="24" ht="49.5" customHeight="1">
      <c r="A24" s="84"/>
      <c r="B24" s="100">
        <v>13.0</v>
      </c>
      <c r="C24" s="101" t="s">
        <v>241</v>
      </c>
      <c r="D24" s="11"/>
      <c r="E24" s="89"/>
      <c r="F24" s="103" t="s">
        <v>141</v>
      </c>
      <c r="G24" s="103"/>
      <c r="H24" s="103"/>
      <c r="I24" s="103"/>
      <c r="J24" s="89"/>
      <c r="K24" s="84"/>
      <c r="L24" s="84"/>
      <c r="M24" s="84"/>
      <c r="N24" s="84"/>
      <c r="O24" s="84"/>
      <c r="P24" s="84"/>
      <c r="Q24" s="84"/>
      <c r="R24" s="84"/>
      <c r="S24" s="84"/>
      <c r="T24" s="84"/>
      <c r="U24" s="84"/>
      <c r="V24" s="84"/>
      <c r="W24" s="84"/>
      <c r="X24" s="84"/>
      <c r="Y24" s="84"/>
      <c r="Z24" s="84"/>
    </row>
    <row r="25" ht="49.5" customHeight="1">
      <c r="A25" s="84"/>
      <c r="B25" s="100">
        <v>14.0</v>
      </c>
      <c r="C25" s="105" t="s">
        <v>242</v>
      </c>
      <c r="D25" s="76"/>
      <c r="E25" s="89"/>
      <c r="F25" s="103" t="s">
        <v>141</v>
      </c>
      <c r="G25" s="103"/>
      <c r="H25" s="103"/>
      <c r="I25" s="103"/>
      <c r="J25" s="89"/>
      <c r="K25" s="84"/>
      <c r="L25" s="84"/>
      <c r="M25" s="84"/>
      <c r="N25" s="84"/>
      <c r="O25" s="84"/>
      <c r="P25" s="84"/>
      <c r="Q25" s="84"/>
      <c r="R25" s="84"/>
      <c r="S25" s="84"/>
      <c r="T25" s="84"/>
      <c r="U25" s="84"/>
      <c r="V25" s="84"/>
      <c r="W25" s="84"/>
      <c r="X25" s="84"/>
      <c r="Y25" s="84"/>
      <c r="Z25" s="84"/>
    </row>
    <row r="26" ht="49.5" customHeight="1">
      <c r="A26" s="84"/>
      <c r="B26" s="100">
        <v>15.0</v>
      </c>
      <c r="C26" s="106" t="s">
        <v>243</v>
      </c>
      <c r="D26" s="11"/>
      <c r="E26" s="89"/>
      <c r="F26" s="103" t="s">
        <v>141</v>
      </c>
      <c r="G26" s="103"/>
      <c r="H26" s="103"/>
      <c r="I26" s="107"/>
      <c r="J26" s="89"/>
      <c r="K26" s="84"/>
      <c r="L26" s="84"/>
      <c r="M26" s="84"/>
      <c r="N26" s="84"/>
      <c r="O26" s="84"/>
      <c r="P26" s="84"/>
      <c r="Q26" s="84"/>
      <c r="R26" s="84"/>
      <c r="S26" s="84"/>
      <c r="T26" s="84"/>
      <c r="U26" s="84"/>
      <c r="V26" s="84"/>
      <c r="W26" s="84"/>
      <c r="X26" s="84"/>
      <c r="Y26" s="84"/>
      <c r="Z26" s="84"/>
    </row>
    <row r="27" ht="49.5" customHeight="1">
      <c r="A27" s="84"/>
      <c r="B27" s="100">
        <v>16.0</v>
      </c>
      <c r="C27" s="106" t="s">
        <v>244</v>
      </c>
      <c r="D27" s="11"/>
      <c r="E27" s="89"/>
      <c r="F27" s="103" t="s">
        <v>141</v>
      </c>
      <c r="G27" s="103"/>
      <c r="H27" s="103"/>
      <c r="I27" s="103"/>
      <c r="J27" s="89"/>
      <c r="K27" s="84"/>
      <c r="L27" s="84"/>
      <c r="M27" s="84"/>
      <c r="N27" s="84"/>
      <c r="O27" s="84"/>
      <c r="P27" s="84"/>
      <c r="Q27" s="84"/>
      <c r="R27" s="84"/>
      <c r="S27" s="84"/>
      <c r="T27" s="84"/>
      <c r="U27" s="84"/>
      <c r="V27" s="84"/>
      <c r="W27" s="84"/>
      <c r="X27" s="84"/>
      <c r="Y27" s="84"/>
      <c r="Z27" s="84"/>
    </row>
    <row r="28" ht="49.5" customHeight="1">
      <c r="A28" s="84"/>
      <c r="B28" s="100">
        <v>17.0</v>
      </c>
      <c r="C28" s="106" t="s">
        <v>245</v>
      </c>
      <c r="D28" s="11"/>
      <c r="E28" s="89"/>
      <c r="F28" s="103" t="s">
        <v>141</v>
      </c>
      <c r="G28" s="103"/>
      <c r="H28" s="103"/>
      <c r="I28" s="103"/>
      <c r="J28" s="89"/>
      <c r="K28" s="84"/>
      <c r="L28" s="84"/>
      <c r="M28" s="84"/>
      <c r="N28" s="84"/>
      <c r="O28" s="84"/>
      <c r="P28" s="84"/>
      <c r="Q28" s="84"/>
      <c r="R28" s="84"/>
      <c r="S28" s="84"/>
      <c r="T28" s="84"/>
      <c r="U28" s="84"/>
      <c r="V28" s="84"/>
      <c r="W28" s="84"/>
      <c r="X28" s="84"/>
      <c r="Y28" s="84"/>
      <c r="Z28" s="84"/>
    </row>
    <row r="29" ht="49.5" customHeight="1">
      <c r="A29" s="84"/>
      <c r="B29" s="100">
        <v>18.0</v>
      </c>
      <c r="C29" s="106" t="s">
        <v>246</v>
      </c>
      <c r="D29" s="11"/>
      <c r="E29" s="89"/>
      <c r="F29" s="103" t="s">
        <v>141</v>
      </c>
      <c r="G29" s="103"/>
      <c r="H29" s="103"/>
      <c r="I29" s="103"/>
      <c r="J29" s="89"/>
      <c r="K29" s="84"/>
      <c r="L29" s="84"/>
      <c r="M29" s="84"/>
      <c r="N29" s="84"/>
      <c r="O29" s="84"/>
      <c r="P29" s="84"/>
      <c r="Q29" s="84"/>
      <c r="R29" s="84"/>
      <c r="S29" s="84"/>
      <c r="T29" s="84"/>
      <c r="U29" s="84"/>
      <c r="V29" s="84"/>
      <c r="W29" s="84"/>
      <c r="X29" s="84"/>
      <c r="Y29" s="84"/>
      <c r="Z29" s="84"/>
    </row>
    <row r="30" ht="49.5" customHeight="1">
      <c r="A30" s="84"/>
      <c r="B30" s="100">
        <v>19.0</v>
      </c>
      <c r="C30" s="106" t="s">
        <v>247</v>
      </c>
      <c r="D30" s="11"/>
      <c r="E30" s="89"/>
      <c r="F30" s="103" t="s">
        <v>141</v>
      </c>
      <c r="G30" s="103"/>
      <c r="H30" s="103"/>
      <c r="I30" s="103"/>
      <c r="J30" s="89"/>
      <c r="K30" s="84"/>
      <c r="L30" s="84"/>
      <c r="M30" s="84"/>
      <c r="N30" s="84"/>
      <c r="O30" s="84"/>
      <c r="P30" s="84"/>
      <c r="Q30" s="84"/>
      <c r="R30" s="84"/>
      <c r="S30" s="84"/>
      <c r="T30" s="84"/>
      <c r="U30" s="84"/>
      <c r="V30" s="84"/>
      <c r="W30" s="84"/>
      <c r="X30" s="84"/>
      <c r="Y30" s="84"/>
      <c r="Z30" s="84"/>
    </row>
    <row r="31" ht="49.5" customHeight="1">
      <c r="A31" s="84"/>
      <c r="B31" s="100">
        <v>20.0</v>
      </c>
      <c r="C31" s="106" t="s">
        <v>248</v>
      </c>
      <c r="D31" s="11"/>
      <c r="E31" s="89"/>
      <c r="F31" s="103" t="s">
        <v>141</v>
      </c>
      <c r="G31" s="103"/>
      <c r="H31" s="103"/>
      <c r="I31" s="103"/>
      <c r="J31" s="89"/>
      <c r="K31" s="84"/>
      <c r="L31" s="84"/>
      <c r="M31" s="84"/>
      <c r="N31" s="84"/>
      <c r="O31" s="84"/>
      <c r="P31" s="84"/>
      <c r="Q31" s="84"/>
      <c r="R31" s="84"/>
      <c r="S31" s="84"/>
      <c r="T31" s="84"/>
      <c r="U31" s="84"/>
      <c r="V31" s="84"/>
      <c r="W31" s="84"/>
      <c r="X31" s="84"/>
      <c r="Y31" s="84"/>
      <c r="Z31" s="84"/>
    </row>
    <row r="32" ht="49.5" customHeight="1">
      <c r="A32" s="84"/>
      <c r="B32" s="89"/>
      <c r="C32" s="89"/>
      <c r="D32" s="89"/>
      <c r="E32" s="89"/>
      <c r="F32" s="89"/>
      <c r="G32" s="89"/>
      <c r="H32" s="89"/>
      <c r="I32" s="89"/>
      <c r="J32" s="89"/>
      <c r="K32" s="84"/>
      <c r="L32" s="84"/>
      <c r="M32" s="84"/>
      <c r="N32" s="84"/>
      <c r="O32" s="84"/>
      <c r="P32" s="84"/>
      <c r="Q32" s="84"/>
      <c r="R32" s="84"/>
      <c r="S32" s="84"/>
      <c r="T32" s="84"/>
      <c r="U32" s="84"/>
      <c r="V32" s="84"/>
      <c r="W32" s="84"/>
      <c r="X32" s="84"/>
      <c r="Y32" s="84"/>
      <c r="Z32" s="84"/>
    </row>
    <row r="33" ht="49.5" customHeight="1">
      <c r="A33" s="84"/>
      <c r="B33" s="89"/>
      <c r="C33" s="89"/>
      <c r="D33" s="89"/>
      <c r="E33" s="89"/>
      <c r="F33" s="89"/>
      <c r="G33" s="89"/>
      <c r="H33" s="89"/>
      <c r="I33" s="89"/>
      <c r="J33" s="89"/>
      <c r="K33" s="84"/>
      <c r="L33" s="84"/>
      <c r="M33" s="84"/>
      <c r="N33" s="84"/>
      <c r="O33" s="84"/>
      <c r="P33" s="84"/>
      <c r="Q33" s="84"/>
      <c r="R33" s="84"/>
      <c r="S33" s="84"/>
      <c r="T33" s="84"/>
      <c r="U33" s="84"/>
      <c r="V33" s="84"/>
      <c r="W33" s="84"/>
      <c r="X33" s="84"/>
      <c r="Y33" s="84"/>
      <c r="Z33" s="84"/>
    </row>
    <row r="34" ht="49.5" customHeight="1">
      <c r="A34" s="84"/>
      <c r="B34" s="89"/>
      <c r="C34" s="89"/>
      <c r="D34" s="89"/>
      <c r="E34" s="89"/>
      <c r="F34" s="89"/>
      <c r="G34" s="89"/>
      <c r="H34" s="89"/>
      <c r="I34" s="89"/>
      <c r="J34" s="89"/>
      <c r="K34" s="84"/>
      <c r="L34" s="84"/>
      <c r="M34" s="84"/>
      <c r="N34" s="84"/>
      <c r="O34" s="84"/>
      <c r="P34" s="84"/>
      <c r="Q34" s="84"/>
      <c r="R34" s="84"/>
      <c r="S34" s="84"/>
      <c r="T34" s="84"/>
      <c r="U34" s="84"/>
      <c r="V34" s="84"/>
      <c r="W34" s="84"/>
      <c r="X34" s="84"/>
      <c r="Y34" s="84"/>
      <c r="Z34" s="84"/>
    </row>
    <row r="35" ht="49.5" customHeight="1">
      <c r="A35" s="84"/>
      <c r="B35" s="89"/>
      <c r="C35" s="89"/>
      <c r="D35" s="89"/>
      <c r="E35" s="89"/>
      <c r="F35" s="89"/>
      <c r="G35" s="89"/>
      <c r="H35" s="89"/>
      <c r="I35" s="89"/>
      <c r="J35" s="89"/>
      <c r="K35" s="84"/>
      <c r="L35" s="84"/>
      <c r="M35" s="84"/>
      <c r="N35" s="84"/>
      <c r="O35" s="84"/>
      <c r="P35" s="84"/>
      <c r="Q35" s="84"/>
      <c r="R35" s="84"/>
      <c r="S35" s="84"/>
      <c r="T35" s="84"/>
      <c r="U35" s="84"/>
      <c r="V35" s="84"/>
      <c r="W35" s="84"/>
      <c r="X35" s="84"/>
      <c r="Y35" s="84"/>
      <c r="Z35" s="84"/>
    </row>
    <row r="36" ht="49.5" customHeight="1">
      <c r="A36" s="84"/>
      <c r="B36" s="89"/>
      <c r="C36" s="89"/>
      <c r="D36" s="89"/>
      <c r="E36" s="89"/>
      <c r="F36" s="89"/>
      <c r="G36" s="89"/>
      <c r="H36" s="89"/>
      <c r="I36" s="89"/>
      <c r="J36" s="89"/>
      <c r="K36" s="84"/>
      <c r="L36" s="84"/>
      <c r="M36" s="84"/>
      <c r="N36" s="84"/>
      <c r="O36" s="84"/>
      <c r="P36" s="84"/>
      <c r="Q36" s="84"/>
      <c r="R36" s="84"/>
      <c r="S36" s="84"/>
      <c r="T36" s="84"/>
      <c r="U36" s="84"/>
      <c r="V36" s="84"/>
      <c r="W36" s="84"/>
      <c r="X36" s="84"/>
      <c r="Y36" s="84"/>
      <c r="Z36" s="84"/>
    </row>
    <row r="37" ht="49.5" customHeight="1">
      <c r="A37" s="84"/>
      <c r="B37" s="89"/>
      <c r="C37" s="89"/>
      <c r="D37" s="89"/>
      <c r="E37" s="89"/>
      <c r="F37" s="89"/>
      <c r="G37" s="89"/>
      <c r="H37" s="89"/>
      <c r="I37" s="89"/>
      <c r="J37" s="89"/>
      <c r="K37" s="84"/>
      <c r="L37" s="84"/>
      <c r="M37" s="84"/>
      <c r="N37" s="84"/>
      <c r="O37" s="84"/>
      <c r="P37" s="84"/>
      <c r="Q37" s="84"/>
      <c r="R37" s="84"/>
      <c r="S37" s="84"/>
      <c r="T37" s="84"/>
      <c r="U37" s="84"/>
      <c r="V37" s="84"/>
      <c r="W37" s="84"/>
      <c r="X37" s="84"/>
      <c r="Y37" s="84"/>
      <c r="Z37" s="84"/>
    </row>
    <row r="38" ht="49.5" customHeight="1">
      <c r="A38" s="84"/>
      <c r="B38" s="89"/>
      <c r="C38" s="89"/>
      <c r="D38" s="89"/>
      <c r="E38" s="89"/>
      <c r="F38" s="89"/>
      <c r="G38" s="89"/>
      <c r="H38" s="89"/>
      <c r="I38" s="89"/>
      <c r="J38" s="89"/>
      <c r="K38" s="84"/>
      <c r="L38" s="84"/>
      <c r="M38" s="84"/>
      <c r="N38" s="84"/>
      <c r="O38" s="84"/>
      <c r="P38" s="84"/>
      <c r="Q38" s="84"/>
      <c r="R38" s="84"/>
      <c r="S38" s="84"/>
      <c r="T38" s="84"/>
      <c r="U38" s="84"/>
      <c r="V38" s="84"/>
      <c r="W38" s="84"/>
      <c r="X38" s="84"/>
      <c r="Y38" s="84"/>
      <c r="Z38" s="84"/>
    </row>
    <row r="39" ht="49.5" customHeight="1">
      <c r="A39" s="84"/>
      <c r="B39" s="89"/>
      <c r="C39" s="89"/>
      <c r="D39" s="89"/>
      <c r="E39" s="89"/>
      <c r="F39" s="89"/>
      <c r="G39" s="89"/>
      <c r="H39" s="89"/>
      <c r="I39" s="89"/>
      <c r="J39" s="89"/>
      <c r="K39" s="84"/>
      <c r="L39" s="84"/>
      <c r="M39" s="84"/>
      <c r="N39" s="84"/>
      <c r="O39" s="84"/>
      <c r="P39" s="84"/>
      <c r="Q39" s="84"/>
      <c r="R39" s="84"/>
      <c r="S39" s="84"/>
      <c r="T39" s="84"/>
      <c r="U39" s="84"/>
      <c r="V39" s="84"/>
      <c r="W39" s="84"/>
      <c r="X39" s="84"/>
      <c r="Y39" s="84"/>
      <c r="Z39" s="84"/>
    </row>
    <row r="40" ht="49.5" customHeight="1">
      <c r="A40" s="84"/>
      <c r="B40" s="89"/>
      <c r="C40" s="89"/>
      <c r="D40" s="89"/>
      <c r="E40" s="89"/>
      <c r="F40" s="89"/>
      <c r="G40" s="89"/>
      <c r="H40" s="89"/>
      <c r="I40" s="89"/>
      <c r="J40" s="89"/>
      <c r="K40" s="84"/>
      <c r="L40" s="84"/>
      <c r="M40" s="84"/>
      <c r="N40" s="84"/>
      <c r="O40" s="84"/>
      <c r="P40" s="84"/>
      <c r="Q40" s="84"/>
      <c r="R40" s="84"/>
      <c r="S40" s="84"/>
      <c r="T40" s="84"/>
      <c r="U40" s="84"/>
      <c r="V40" s="84"/>
      <c r="W40" s="84"/>
      <c r="X40" s="84"/>
      <c r="Y40" s="84"/>
      <c r="Z40" s="84"/>
    </row>
    <row r="41" ht="49.5" customHeight="1">
      <c r="A41" s="84"/>
      <c r="B41" s="89"/>
      <c r="C41" s="89"/>
      <c r="D41" s="89"/>
      <c r="E41" s="89"/>
      <c r="F41" s="89"/>
      <c r="G41" s="89"/>
      <c r="H41" s="89"/>
      <c r="I41" s="89"/>
      <c r="J41" s="89"/>
      <c r="K41" s="84"/>
      <c r="L41" s="84"/>
      <c r="M41" s="84"/>
      <c r="N41" s="84"/>
      <c r="O41" s="84"/>
      <c r="P41" s="84"/>
      <c r="Q41" s="84"/>
      <c r="R41" s="84"/>
      <c r="S41" s="84"/>
      <c r="T41" s="84"/>
      <c r="U41" s="84"/>
      <c r="V41" s="84"/>
      <c r="W41" s="84"/>
      <c r="X41" s="84"/>
      <c r="Y41" s="84"/>
      <c r="Z41" s="84"/>
    </row>
    <row r="42" ht="49.5" customHeight="1">
      <c r="A42" s="84"/>
      <c r="B42" s="89"/>
      <c r="C42" s="89"/>
      <c r="D42" s="89"/>
      <c r="E42" s="89"/>
      <c r="F42" s="89"/>
      <c r="G42" s="89"/>
      <c r="H42" s="89"/>
      <c r="I42" s="89"/>
      <c r="J42" s="89"/>
      <c r="K42" s="84"/>
      <c r="L42" s="84"/>
      <c r="M42" s="84"/>
      <c r="N42" s="84"/>
      <c r="O42" s="84"/>
      <c r="P42" s="84"/>
      <c r="Q42" s="84"/>
      <c r="R42" s="84"/>
      <c r="S42" s="84"/>
      <c r="T42" s="84"/>
      <c r="U42" s="84"/>
      <c r="V42" s="84"/>
      <c r="W42" s="84"/>
      <c r="X42" s="84"/>
      <c r="Y42" s="84"/>
      <c r="Z42" s="84"/>
    </row>
    <row r="43" ht="49.5" customHeight="1">
      <c r="A43" s="84"/>
      <c r="B43" s="89"/>
      <c r="C43" s="89"/>
      <c r="D43" s="89"/>
      <c r="E43" s="89"/>
      <c r="F43" s="89"/>
      <c r="G43" s="89"/>
      <c r="H43" s="89"/>
      <c r="I43" s="89"/>
      <c r="J43" s="89"/>
      <c r="K43" s="84"/>
      <c r="L43" s="84"/>
      <c r="M43" s="84"/>
      <c r="N43" s="84"/>
      <c r="O43" s="84"/>
      <c r="P43" s="84"/>
      <c r="Q43" s="84"/>
      <c r="R43" s="84"/>
      <c r="S43" s="84"/>
      <c r="T43" s="84"/>
      <c r="U43" s="84"/>
      <c r="V43" s="84"/>
      <c r="W43" s="84"/>
      <c r="X43" s="84"/>
      <c r="Y43" s="84"/>
      <c r="Z43" s="84"/>
    </row>
    <row r="44" ht="49.5" customHeight="1">
      <c r="A44" s="84"/>
      <c r="B44" s="89"/>
      <c r="C44" s="89"/>
      <c r="D44" s="89"/>
      <c r="E44" s="89"/>
      <c r="F44" s="89"/>
      <c r="G44" s="89"/>
      <c r="H44" s="89"/>
      <c r="I44" s="89"/>
      <c r="J44" s="89"/>
      <c r="K44" s="84"/>
      <c r="L44" s="84"/>
      <c r="M44" s="84"/>
      <c r="N44" s="84"/>
      <c r="O44" s="84"/>
      <c r="P44" s="84"/>
      <c r="Q44" s="84"/>
      <c r="R44" s="84"/>
      <c r="S44" s="84"/>
      <c r="T44" s="84"/>
      <c r="U44" s="84"/>
      <c r="V44" s="84"/>
      <c r="W44" s="84"/>
      <c r="X44" s="84"/>
      <c r="Y44" s="84"/>
      <c r="Z44" s="84"/>
    </row>
    <row r="45" ht="49.5" customHeight="1">
      <c r="A45" s="84"/>
      <c r="B45" s="89"/>
      <c r="C45" s="89"/>
      <c r="D45" s="89"/>
      <c r="E45" s="89"/>
      <c r="F45" s="89"/>
      <c r="G45" s="89"/>
      <c r="H45" s="89"/>
      <c r="I45" s="89"/>
      <c r="J45" s="89"/>
      <c r="K45" s="84"/>
      <c r="L45" s="84"/>
      <c r="M45" s="84"/>
      <c r="N45" s="84"/>
      <c r="O45" s="84"/>
      <c r="P45" s="84"/>
      <c r="Q45" s="84"/>
      <c r="R45" s="84"/>
      <c r="S45" s="84"/>
      <c r="T45" s="84"/>
      <c r="U45" s="84"/>
      <c r="V45" s="84"/>
      <c r="W45" s="84"/>
      <c r="X45" s="84"/>
      <c r="Y45" s="84"/>
      <c r="Z45" s="84"/>
    </row>
    <row r="46" ht="49.5" customHeight="1">
      <c r="A46" s="84"/>
      <c r="B46" s="89"/>
      <c r="C46" s="89"/>
      <c r="D46" s="89"/>
      <c r="E46" s="89"/>
      <c r="F46" s="89"/>
      <c r="G46" s="89"/>
      <c r="H46" s="89"/>
      <c r="I46" s="89"/>
      <c r="J46" s="89"/>
      <c r="K46" s="84"/>
      <c r="L46" s="84"/>
      <c r="M46" s="84"/>
      <c r="N46" s="84"/>
      <c r="O46" s="84"/>
      <c r="P46" s="84"/>
      <c r="Q46" s="84"/>
      <c r="R46" s="84"/>
      <c r="S46" s="84"/>
      <c r="T46" s="84"/>
      <c r="U46" s="84"/>
      <c r="V46" s="84"/>
      <c r="W46" s="84"/>
      <c r="X46" s="84"/>
      <c r="Y46" s="84"/>
      <c r="Z46" s="84"/>
    </row>
    <row r="47" ht="49.5" customHeight="1">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row>
    <row r="48" ht="49.5" customHeight="1">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row>
    <row r="49" ht="49.5" customHeight="1">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row>
    <row r="50" ht="49.5" customHeight="1">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row>
    <row r="51" ht="49.5" customHeight="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ht="49.5" customHeight="1">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ht="49.5" customHeight="1">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ht="49.5" customHeight="1">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ht="49.5" customHeight="1">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ht="49.5" customHeight="1">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ht="49.5" customHeight="1">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ht="49.5" customHeight="1">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ht="49.5" customHeight="1">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ht="49.5" customHeight="1">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ht="49.5" customHeight="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ht="49.5" customHeight="1">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ht="49.5" customHeight="1">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ht="49.5" customHeight="1">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ht="49.5" customHeight="1">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ht="49.5" customHeight="1">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ht="49.5" customHeight="1">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ht="49.5" customHeight="1">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ht="49.5" customHeight="1">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ht="49.5" customHeight="1">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ht="49.5" customHeight="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ht="49.5" customHeight="1">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ht="49.5" customHeight="1">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ht="49.5" customHeight="1">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ht="49.5" customHeight="1">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ht="49.5" customHeight="1">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ht="49.5" customHeight="1">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ht="49.5" customHeight="1">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ht="49.5" customHeight="1">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ht="49.5" customHeight="1">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ht="49.5" customHeight="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ht="49.5" customHeight="1">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ht="49.5" customHeight="1">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ht="49.5" customHeight="1">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ht="49.5" customHeight="1">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ht="49.5" customHeight="1">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ht="49.5" customHeight="1">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ht="49.5" customHeight="1">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ht="49.5" customHeight="1">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ht="49.5" customHeight="1">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ht="49.5" customHeight="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ht="49.5" customHeight="1">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ht="49.5" customHeight="1">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ht="49.5" customHeight="1">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ht="49.5" customHeight="1">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ht="49.5" customHeight="1">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ht="49.5" customHeight="1">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ht="49.5" customHeight="1">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ht="49.5" customHeight="1">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ht="49.5" customHeight="1">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ht="49.5" customHeight="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ht="49.5" customHeight="1">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ht="49.5" customHeight="1">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ht="49.5" customHeight="1">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ht="49.5" customHeight="1">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ht="49.5" customHeight="1">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ht="49.5" customHeight="1">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ht="49.5" customHeight="1">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ht="49.5" customHeight="1">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ht="49.5" customHeight="1">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ht="49.5" customHeight="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ht="49.5" customHeight="1">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ht="49.5" customHeight="1">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ht="49.5" customHeight="1">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ht="49.5" customHeight="1">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ht="49.5" customHeight="1">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ht="49.5" customHeight="1">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ht="49.5" customHeight="1">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ht="49.5" customHeight="1">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ht="49.5" customHeight="1">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ht="49.5" customHeight="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ht="49.5" customHeight="1">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ht="49.5" customHeight="1">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ht="49.5" customHeight="1">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ht="49.5" customHeight="1">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ht="49.5" customHeight="1">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ht="49.5" customHeight="1">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ht="49.5" customHeight="1">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ht="49.5" customHeight="1">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ht="49.5" customHeight="1">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ht="49.5" customHeight="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ht="49.5" customHeight="1">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ht="49.5" customHeight="1">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ht="49.5" customHeight="1">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ht="49.5" customHeight="1">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ht="49.5" customHeight="1">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ht="49.5" customHeight="1">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ht="49.5" customHeight="1">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ht="49.5" customHeight="1">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ht="49.5" customHeight="1">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ht="49.5" customHeight="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ht="49.5" customHeight="1">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ht="49.5" customHeight="1">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ht="49.5" customHeight="1">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ht="49.5" customHeight="1">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ht="49.5" customHeight="1">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ht="49.5" customHeight="1">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ht="49.5" customHeight="1">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ht="49.5" customHeight="1">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ht="49.5" customHeight="1">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ht="49.5" customHeight="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ht="49.5" customHeight="1">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ht="49.5" customHeigh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ht="49.5" customHeight="1">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ht="49.5" customHeight="1">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ht="49.5" customHeight="1">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ht="49.5" customHeight="1">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ht="49.5" customHeight="1">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ht="49.5" customHeight="1">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ht="49.5" customHeight="1">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ht="49.5" customHeight="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ht="49.5" customHeight="1">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ht="49.5" customHeight="1">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ht="49.5" customHeight="1">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ht="49.5" customHeight="1">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ht="49.5" customHeight="1">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ht="49.5" customHeight="1">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ht="49.5" customHeight="1">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ht="49.5" customHeight="1">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ht="49.5" customHeight="1">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ht="49.5" customHeight="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ht="49.5" customHeight="1">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ht="49.5" customHeight="1">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ht="49.5" customHeight="1">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ht="49.5" customHeight="1">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ht="49.5" customHeight="1">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ht="49.5" customHeight="1">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ht="49.5" customHeight="1">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ht="49.5" customHeight="1">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ht="49.5" customHeight="1">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ht="49.5" customHeight="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ht="49.5" customHeight="1">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ht="49.5" customHeight="1">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ht="49.5" customHeight="1">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ht="49.5" customHeight="1">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ht="49.5" customHeight="1">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ht="49.5" customHeight="1">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ht="49.5" customHeight="1">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ht="49.5" customHeight="1">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ht="49.5" customHeight="1">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ht="49.5" customHeight="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ht="49.5" customHeight="1">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ht="49.5" customHeight="1">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ht="49.5" customHeight="1">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ht="49.5" customHeight="1">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ht="49.5" customHeight="1">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ht="49.5" customHeight="1">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ht="49.5" customHeight="1">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ht="49.5" customHeight="1">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ht="49.5" customHeight="1">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ht="49.5" customHeight="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ht="49.5" customHeight="1">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ht="49.5" customHeight="1">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ht="49.5" customHeight="1">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ht="49.5" customHeight="1">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ht="49.5" customHeight="1">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ht="49.5" customHeight="1">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ht="49.5" customHeight="1">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ht="49.5" customHeigh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ht="49.5" customHeigh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ht="49.5" customHeigh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ht="49.5" customHeigh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ht="49.5" customHeigh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ht="49.5" customHeigh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ht="49.5" customHeigh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ht="49.5" customHeigh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ht="49.5" customHeigh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ht="49.5" customHeigh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ht="49.5" customHeigh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ht="49.5" customHeigh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ht="49.5" customHeight="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ht="49.5" customHeight="1">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ht="49.5" customHeight="1">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ht="49.5" customHeight="1">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ht="49.5" customHeight="1">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ht="49.5" customHeight="1">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ht="49.5" customHeight="1">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ht="49.5" customHeight="1">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ht="49.5" customHeight="1">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ht="49.5" customHeight="1">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ht="49.5" customHeight="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ht="49.5" customHeight="1">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ht="49.5" customHeight="1">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ht="49.5" customHeight="1">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ht="49.5" customHeight="1">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ht="49.5" customHeight="1">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ht="49.5" customHeight="1">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ht="49.5" customHeight="1">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ht="49.5" customHeight="1">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ht="49.5" customHeight="1">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ht="49.5" customHeight="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ht="49.5" customHeight="1">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ht="49.5" customHeight="1">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ht="49.5" customHeight="1">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ht="49.5" customHeight="1">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ht="49.5" customHeight="1">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ht="49.5" customHeight="1">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ht="49.5" customHeight="1">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ht="49.5" customHeight="1">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ht="49.5" customHeight="1">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ht="49.5" customHeight="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ht="49.5" customHeight="1">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ht="49.5" customHeight="1">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ht="49.5" customHeight="1">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ht="49.5" customHeight="1">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ht="49.5" customHeight="1">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ht="49.5" customHeight="1">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ht="49.5" customHeight="1">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ht="49.5" customHeight="1">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ht="49.5" customHeight="1">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ht="49.5" customHeight="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ht="49.5" customHeight="1">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ht="49.5" customHeight="1">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ht="49.5" customHeight="1">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ht="49.5" customHeight="1">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ht="49.5" customHeight="1">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ht="49.5" customHeight="1">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ht="49.5" customHeight="1">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ht="49.5" customHeight="1">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ht="49.5" customHeight="1">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ht="49.5" customHeight="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ht="49.5" customHeight="1">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ht="49.5" customHeight="1">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ht="49.5" customHeight="1">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ht="49.5" customHeight="1">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ht="49.5" customHeight="1">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ht="49.5" customHeight="1">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ht="49.5" customHeight="1">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ht="49.5" customHeight="1">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ht="49.5" customHeight="1">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ht="49.5" customHeight="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ht="49.5" customHeight="1">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ht="49.5" customHeight="1">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ht="49.5" customHeight="1">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ht="49.5" customHeight="1">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ht="49.5" customHeight="1">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ht="49.5" customHeight="1">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ht="49.5" customHeight="1">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ht="49.5" customHeight="1">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ht="49.5" customHeight="1">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ht="49.5" customHeight="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ht="49.5" customHeight="1">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ht="49.5" customHeight="1">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ht="49.5" customHeight="1">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ht="49.5" customHeight="1">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ht="49.5" customHeight="1">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ht="49.5" customHeight="1">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ht="49.5" customHeight="1">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ht="49.5" customHeight="1">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ht="49.5" customHeight="1">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ht="49.5" customHeight="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ht="49.5" customHeight="1">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ht="49.5" customHeight="1">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ht="49.5" customHeight="1">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ht="49.5" customHeight="1">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ht="49.5" customHeight="1">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ht="49.5" customHeight="1">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ht="49.5" customHeight="1">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ht="49.5" customHeight="1">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ht="49.5" customHeight="1">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ht="49.5" customHeight="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ht="49.5" customHeight="1">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ht="49.5" customHeight="1">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ht="49.5" customHeight="1">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ht="49.5" customHeight="1">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ht="49.5" customHeight="1">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ht="49.5" customHeight="1">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ht="49.5" customHeight="1">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ht="49.5" customHeight="1">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ht="49.5" customHeight="1">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ht="49.5" customHeight="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ht="49.5" customHeight="1">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ht="49.5" customHeight="1">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ht="49.5" customHeight="1">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ht="49.5" customHeight="1">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ht="49.5" customHeight="1">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ht="49.5" customHeight="1">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ht="49.5" customHeight="1">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ht="49.5" customHeight="1">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ht="49.5" customHeight="1">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ht="49.5" customHeight="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ht="49.5" customHeight="1">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ht="49.5" customHeight="1">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ht="49.5" customHeight="1">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ht="49.5" customHeight="1">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ht="49.5" customHeight="1">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ht="49.5" customHeight="1">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ht="49.5" customHeight="1">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ht="49.5" customHeight="1">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ht="49.5" customHeight="1">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ht="49.5" customHeight="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ht="49.5" customHeight="1">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ht="49.5" customHeight="1">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ht="49.5" customHeight="1">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ht="49.5" customHeight="1">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ht="49.5" customHeight="1">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ht="49.5" customHeight="1">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ht="49.5" customHeight="1">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ht="49.5" customHeight="1">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ht="49.5" customHeight="1">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ht="49.5" customHeight="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ht="49.5" customHeight="1">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ht="49.5" customHeight="1">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ht="49.5" customHeight="1">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ht="49.5" customHeight="1">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ht="49.5" customHeight="1">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ht="49.5" customHeight="1">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ht="49.5" customHeight="1">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ht="49.5" customHeight="1">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ht="49.5" customHeight="1">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ht="49.5" customHeight="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ht="49.5" customHeight="1">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ht="49.5" customHeight="1">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ht="49.5" customHeight="1">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ht="49.5" customHeight="1">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ht="49.5" customHeight="1">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ht="49.5" customHeight="1">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ht="49.5" customHeight="1">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ht="49.5" customHeight="1">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ht="49.5" customHeight="1">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ht="49.5" customHeight="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ht="49.5" customHeight="1">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ht="49.5" customHeight="1">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ht="49.5" customHeight="1">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ht="49.5" customHeight="1">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ht="49.5" customHeight="1">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ht="49.5" customHeight="1">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ht="49.5" customHeight="1">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ht="49.5" customHeight="1">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ht="49.5" customHeight="1">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ht="49.5" customHeight="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ht="49.5" customHeight="1">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ht="49.5" customHeight="1">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ht="49.5" customHeight="1">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ht="49.5" customHeight="1">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ht="49.5" customHeight="1">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ht="49.5" customHeight="1">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ht="49.5" customHeight="1">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ht="49.5" customHeight="1">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ht="49.5" customHeight="1">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ht="49.5" customHeight="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ht="49.5" customHeight="1">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ht="49.5" customHeight="1">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ht="49.5" customHeight="1">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ht="49.5" customHeight="1">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ht="49.5" customHeight="1">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ht="49.5" customHeight="1">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ht="49.5" customHeight="1">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ht="49.5" customHeight="1">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ht="49.5" customHeight="1">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ht="49.5" customHeight="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ht="49.5" customHeight="1">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ht="49.5" customHeight="1">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ht="49.5" customHeight="1">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ht="49.5" customHeight="1">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ht="49.5" customHeight="1">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ht="49.5" customHeight="1">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ht="49.5" customHeight="1">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ht="49.5" customHeight="1">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ht="49.5" customHeight="1">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ht="49.5" customHeight="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ht="49.5" customHeight="1">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ht="49.5" customHeight="1">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ht="49.5" customHeight="1">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ht="49.5" customHeight="1">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ht="49.5" customHeight="1">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ht="49.5" customHeight="1">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ht="49.5" customHeight="1">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ht="49.5" customHeight="1">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ht="49.5" customHeight="1">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ht="49.5" customHeight="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ht="49.5" customHeight="1">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ht="49.5" customHeight="1">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ht="49.5" customHeight="1">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ht="49.5" customHeight="1">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ht="49.5" customHeight="1">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ht="49.5" customHeight="1">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ht="49.5" customHeight="1">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ht="49.5" customHeight="1">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ht="49.5" customHeight="1">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ht="49.5" customHeight="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ht="49.5" customHeight="1">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ht="49.5" customHeight="1">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ht="49.5" customHeight="1">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ht="49.5" customHeight="1">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ht="49.5" customHeight="1">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ht="49.5" customHeight="1">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ht="49.5" customHeight="1">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ht="49.5" customHeight="1">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ht="49.5" customHeight="1">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ht="49.5" customHeight="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ht="49.5" customHeight="1">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ht="49.5" customHeight="1">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ht="49.5" customHeight="1">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ht="49.5" customHeight="1">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ht="49.5" customHeight="1">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ht="49.5" customHeight="1">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ht="49.5" customHeight="1">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ht="49.5" customHeight="1">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ht="49.5" customHeight="1">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ht="49.5" customHeight="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ht="49.5" customHeight="1">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ht="49.5" customHeight="1">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ht="49.5" customHeight="1">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ht="49.5" customHeight="1">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ht="49.5" customHeight="1">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ht="49.5" customHeight="1">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ht="49.5" customHeight="1">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ht="49.5" customHeight="1">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ht="49.5" customHeight="1">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ht="49.5" customHeight="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ht="49.5" customHeight="1">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ht="49.5" customHeight="1">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ht="49.5" customHeight="1">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ht="49.5" customHeight="1">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ht="49.5" customHeight="1">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ht="49.5" customHeight="1">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ht="49.5" customHeight="1">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ht="49.5" customHeight="1">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ht="49.5" customHeight="1">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ht="49.5" customHeight="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ht="49.5" customHeight="1">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ht="49.5" customHeight="1">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ht="49.5" customHeight="1">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ht="49.5" customHeight="1">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ht="49.5" customHeight="1">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ht="49.5" customHeight="1">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ht="49.5" customHeight="1">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ht="49.5" customHeight="1">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ht="49.5" customHeight="1">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ht="49.5" customHeight="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ht="49.5" customHeight="1">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ht="49.5" customHeight="1">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ht="49.5" customHeight="1">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ht="49.5" customHeight="1">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ht="49.5" customHeight="1">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ht="49.5" customHeight="1">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ht="49.5" customHeight="1">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ht="49.5" customHeight="1">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ht="49.5" customHeight="1">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ht="49.5" customHeight="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ht="49.5" customHeight="1">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ht="49.5" customHeight="1">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ht="49.5" customHeight="1">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ht="49.5" customHeight="1">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ht="49.5" customHeight="1">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ht="49.5" customHeight="1">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ht="49.5" customHeight="1">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ht="49.5" customHeight="1">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ht="49.5" customHeight="1">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ht="49.5" customHeight="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ht="49.5" customHeight="1">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ht="49.5" customHeight="1">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ht="49.5" customHeight="1">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ht="49.5" customHeight="1">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ht="49.5" customHeight="1">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ht="49.5" customHeight="1">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ht="49.5" customHeight="1">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ht="49.5" customHeight="1">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ht="49.5" customHeight="1">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ht="49.5" customHeight="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ht="49.5" customHeight="1">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ht="49.5" customHeight="1">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ht="49.5" customHeight="1">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ht="49.5" customHeight="1">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ht="49.5" customHeight="1">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ht="49.5" customHeight="1">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ht="49.5" customHeight="1">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ht="49.5" customHeight="1">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ht="49.5" customHeight="1">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ht="49.5" customHeight="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ht="49.5" customHeight="1">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ht="49.5" customHeight="1">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ht="49.5" customHeight="1">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ht="49.5" customHeight="1">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ht="49.5" customHeight="1">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ht="49.5" customHeight="1">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ht="49.5" customHeight="1">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ht="49.5" customHeight="1">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ht="49.5" customHeight="1">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ht="49.5" customHeight="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ht="49.5" customHeight="1">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ht="49.5" customHeight="1">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ht="49.5" customHeight="1">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ht="49.5" customHeight="1">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ht="49.5" customHeight="1">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ht="49.5" customHeight="1">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ht="49.5" customHeight="1">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ht="49.5" customHeight="1">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ht="49.5" customHeight="1">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ht="49.5" customHeight="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ht="49.5" customHeight="1">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ht="49.5" customHeight="1">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ht="49.5" customHeight="1">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ht="49.5" customHeight="1">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ht="49.5" customHeight="1">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ht="49.5" customHeight="1">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ht="49.5" customHeight="1">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ht="49.5" customHeight="1">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ht="49.5" customHeight="1">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ht="49.5" customHeight="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ht="49.5" customHeight="1">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ht="49.5" customHeight="1">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ht="49.5" customHeight="1">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ht="49.5" customHeight="1">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ht="49.5" customHeight="1">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ht="49.5" customHeight="1">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ht="49.5" customHeight="1">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ht="49.5" customHeight="1">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ht="49.5" customHeight="1">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ht="49.5" customHeight="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ht="49.5" customHeight="1">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ht="49.5" customHeight="1">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ht="49.5" customHeight="1">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ht="49.5" customHeight="1">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ht="49.5" customHeight="1">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ht="49.5" customHeight="1">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ht="49.5" customHeight="1">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ht="49.5" customHeight="1">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ht="49.5" customHeight="1">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ht="49.5" customHeight="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ht="49.5" customHeight="1">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ht="49.5" customHeight="1">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ht="49.5" customHeight="1">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ht="49.5" customHeight="1">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ht="49.5" customHeight="1">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ht="49.5" customHeight="1">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ht="49.5" customHeight="1">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ht="49.5" customHeight="1">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ht="49.5" customHeight="1">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ht="49.5" customHeight="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ht="49.5" customHeight="1">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ht="49.5" customHeight="1">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ht="49.5" customHeight="1">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ht="49.5" customHeight="1">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ht="49.5" customHeight="1">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ht="49.5" customHeight="1">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ht="49.5" customHeight="1">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ht="49.5" customHeight="1">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ht="49.5" customHeight="1">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ht="49.5" customHeight="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ht="49.5" customHeight="1">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ht="49.5" customHeight="1">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ht="49.5" customHeight="1">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ht="49.5" customHeight="1">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ht="49.5" customHeight="1">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ht="49.5" customHeight="1">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ht="49.5" customHeight="1">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ht="49.5" customHeight="1">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ht="49.5" customHeight="1">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ht="49.5" customHeight="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ht="49.5" customHeight="1">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ht="49.5" customHeight="1">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ht="49.5" customHeight="1">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ht="49.5" customHeight="1">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ht="49.5" customHeight="1">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ht="49.5" customHeight="1">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ht="49.5" customHeight="1">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ht="49.5" customHeight="1">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ht="49.5" customHeight="1">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ht="49.5" customHeight="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ht="49.5" customHeight="1">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ht="49.5" customHeight="1">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ht="49.5" customHeight="1">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ht="49.5" customHeight="1">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ht="49.5" customHeight="1">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ht="49.5" customHeight="1">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ht="49.5" customHeight="1">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ht="49.5" customHeight="1">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ht="49.5" customHeight="1">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ht="49.5" customHeight="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ht="49.5" customHeight="1">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ht="49.5" customHeight="1">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ht="49.5" customHeight="1">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ht="49.5" customHeight="1">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ht="49.5" customHeight="1">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ht="49.5" customHeight="1">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ht="49.5" customHeight="1">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ht="49.5" customHeight="1">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ht="49.5" customHeight="1">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ht="49.5" customHeight="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ht="49.5" customHeight="1">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ht="49.5" customHeight="1">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ht="49.5" customHeight="1">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ht="49.5" customHeight="1">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ht="49.5" customHeight="1">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ht="49.5" customHeight="1">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ht="49.5" customHeight="1">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ht="49.5" customHeight="1">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ht="49.5" customHeight="1">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ht="49.5" customHeight="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ht="49.5" customHeight="1">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ht="49.5" customHeight="1">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ht="49.5" customHeight="1">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ht="49.5" customHeight="1">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ht="49.5" customHeight="1">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ht="49.5" customHeight="1">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ht="49.5" customHeight="1">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ht="49.5" customHeight="1">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ht="49.5" customHeight="1">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ht="49.5" customHeight="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ht="49.5" customHeight="1">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ht="49.5" customHeight="1">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ht="49.5" customHeight="1">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ht="49.5" customHeight="1">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ht="49.5" customHeight="1">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ht="49.5" customHeight="1">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ht="49.5" customHeight="1">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ht="49.5" customHeight="1">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ht="49.5" customHeight="1">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ht="49.5" customHeight="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ht="49.5" customHeight="1">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ht="49.5" customHeight="1">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ht="49.5" customHeight="1">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ht="49.5" customHeight="1">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ht="49.5" customHeight="1">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ht="49.5" customHeight="1">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ht="49.5" customHeight="1">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ht="49.5" customHeight="1">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ht="49.5" customHeight="1">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ht="49.5" customHeight="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ht="49.5" customHeight="1">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ht="49.5" customHeight="1">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ht="49.5" customHeight="1">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ht="49.5" customHeight="1">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ht="49.5" customHeight="1">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ht="49.5" customHeight="1">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ht="49.5" customHeight="1">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ht="49.5" customHeight="1">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ht="49.5" customHeight="1">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ht="49.5" customHeight="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ht="49.5" customHeight="1">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ht="49.5" customHeight="1">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ht="49.5" customHeight="1">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ht="49.5" customHeight="1">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ht="49.5" customHeight="1">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ht="49.5" customHeight="1">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ht="49.5" customHeight="1">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ht="49.5" customHeight="1">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ht="49.5" customHeight="1">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ht="49.5" customHeight="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ht="49.5" customHeight="1">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ht="49.5" customHeight="1">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ht="49.5" customHeight="1">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ht="49.5" customHeight="1">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ht="49.5" customHeight="1">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ht="49.5" customHeight="1">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ht="49.5" customHeight="1">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ht="49.5" customHeight="1">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ht="49.5" customHeight="1">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ht="49.5" customHeight="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ht="49.5" customHeight="1">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ht="49.5" customHeight="1">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ht="49.5" customHeight="1">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ht="49.5" customHeight="1">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ht="49.5" customHeight="1">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ht="49.5" customHeight="1">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ht="49.5" customHeight="1">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ht="49.5" customHeight="1">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ht="49.5" customHeight="1">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ht="49.5" customHeight="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ht="49.5" customHeight="1">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ht="49.5" customHeight="1">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ht="49.5" customHeight="1">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ht="49.5" customHeight="1">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ht="49.5" customHeight="1">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ht="49.5" customHeight="1">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ht="49.5" customHeight="1">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ht="49.5" customHeight="1">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ht="49.5" customHeight="1">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ht="49.5" customHeight="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ht="49.5" customHeight="1">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ht="49.5" customHeight="1">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ht="49.5" customHeight="1">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ht="49.5" customHeight="1">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ht="49.5" customHeight="1">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ht="49.5" customHeight="1">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ht="49.5" customHeight="1">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ht="49.5" customHeight="1">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ht="49.5" customHeight="1">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ht="49.5" customHeight="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ht="49.5" customHeight="1">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ht="49.5" customHeight="1">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ht="49.5" customHeight="1">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ht="49.5" customHeight="1">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ht="49.5" customHeight="1">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ht="49.5" customHeight="1">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ht="49.5" customHeight="1">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ht="49.5" customHeight="1">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ht="49.5" customHeight="1">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ht="49.5" customHeight="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ht="49.5" customHeight="1">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ht="49.5" customHeight="1">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ht="49.5" customHeight="1">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ht="49.5" customHeight="1">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ht="49.5" customHeight="1">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ht="49.5" customHeight="1">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ht="49.5" customHeight="1">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ht="49.5" customHeight="1">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ht="49.5" customHeight="1">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ht="49.5" customHeight="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ht="49.5" customHeight="1">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ht="49.5" customHeight="1">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ht="49.5" customHeight="1">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ht="49.5" customHeight="1">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ht="49.5" customHeight="1">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ht="49.5" customHeight="1">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ht="49.5" customHeight="1">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ht="49.5" customHeight="1">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ht="49.5" customHeight="1">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ht="49.5" customHeight="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ht="49.5" customHeight="1">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ht="49.5" customHeight="1">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ht="49.5" customHeight="1">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ht="49.5" customHeight="1">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ht="49.5" customHeight="1">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ht="49.5" customHeight="1">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ht="49.5" customHeight="1">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ht="49.5" customHeight="1">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ht="49.5" customHeight="1">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ht="49.5" customHeight="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ht="49.5" customHeight="1">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ht="49.5" customHeight="1">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ht="49.5" customHeight="1">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ht="49.5" customHeight="1">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ht="49.5" customHeight="1">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ht="49.5" customHeight="1">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ht="49.5" customHeight="1">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ht="49.5" customHeight="1">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ht="49.5" customHeight="1">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ht="49.5" customHeight="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ht="49.5" customHeight="1">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ht="49.5" customHeight="1">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ht="49.5" customHeight="1">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ht="49.5" customHeight="1">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ht="49.5" customHeight="1">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ht="49.5" customHeight="1">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ht="49.5" customHeight="1">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ht="49.5" customHeight="1">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ht="49.5" customHeight="1">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ht="49.5" customHeight="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ht="49.5" customHeight="1">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ht="49.5" customHeight="1">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ht="49.5" customHeight="1">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ht="49.5" customHeight="1">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ht="49.5" customHeight="1">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ht="49.5" customHeight="1">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ht="49.5" customHeight="1">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ht="49.5" customHeight="1">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ht="49.5" customHeight="1">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ht="49.5" customHeight="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ht="49.5" customHeight="1">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ht="49.5" customHeight="1">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ht="49.5" customHeight="1">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ht="49.5" customHeight="1">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ht="49.5" customHeight="1">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ht="49.5" customHeight="1">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ht="49.5" customHeight="1">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ht="49.5" customHeight="1">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ht="49.5" customHeight="1">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ht="49.5" customHeight="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ht="49.5" customHeight="1">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ht="49.5" customHeight="1">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ht="49.5" customHeight="1">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ht="49.5" customHeight="1">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ht="49.5" customHeight="1">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ht="49.5" customHeight="1">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ht="49.5" customHeight="1">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ht="49.5" customHeight="1">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ht="49.5" customHeight="1">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ht="49.5" customHeight="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ht="49.5" customHeight="1">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ht="49.5" customHeight="1">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ht="49.5" customHeight="1">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ht="49.5" customHeight="1">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ht="49.5" customHeight="1">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ht="49.5" customHeight="1">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ht="49.5" customHeight="1">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ht="49.5" customHeight="1">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ht="49.5" customHeight="1">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ht="49.5" customHeight="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ht="49.5" customHeight="1">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ht="49.5" customHeight="1">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ht="49.5" customHeight="1">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ht="49.5" customHeight="1">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ht="49.5" customHeight="1">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ht="49.5" customHeight="1">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ht="49.5" customHeight="1">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ht="49.5" customHeight="1">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ht="49.5" customHeight="1">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ht="49.5" customHeight="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ht="49.5" customHeight="1">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ht="49.5" customHeight="1">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ht="49.5" customHeight="1">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ht="49.5" customHeight="1">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ht="49.5" customHeight="1">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ht="49.5" customHeight="1">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ht="49.5" customHeight="1">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ht="49.5" customHeight="1">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ht="49.5" customHeight="1">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ht="49.5" customHeight="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ht="49.5" customHeight="1">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ht="49.5" customHeight="1">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ht="49.5" customHeight="1">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ht="49.5" customHeight="1">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ht="49.5" customHeight="1">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ht="49.5" customHeight="1">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ht="49.5" customHeight="1">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ht="49.5" customHeight="1">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ht="49.5" customHeight="1">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ht="49.5" customHeight="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ht="49.5" customHeight="1">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ht="49.5" customHeight="1">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ht="49.5" customHeight="1">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ht="49.5" customHeight="1">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ht="49.5" customHeight="1">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ht="49.5" customHeight="1">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ht="49.5" customHeight="1">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ht="49.5" customHeight="1">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ht="49.5" customHeight="1">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ht="49.5" customHeight="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ht="49.5" customHeight="1">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ht="49.5" customHeight="1">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ht="49.5" customHeight="1">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ht="49.5" customHeight="1">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ht="49.5" customHeight="1">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ht="49.5" customHeight="1">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ht="49.5" customHeight="1">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ht="49.5" customHeight="1">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ht="49.5" customHeight="1">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ht="49.5" customHeight="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ht="49.5" customHeight="1">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ht="49.5" customHeight="1">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ht="49.5" customHeight="1">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ht="49.5" customHeight="1">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ht="49.5" customHeight="1">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ht="49.5" customHeight="1">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ht="49.5" customHeight="1">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ht="49.5" customHeight="1">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ht="49.5" customHeight="1">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ht="49.5" customHeight="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ht="49.5" customHeight="1">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ht="49.5" customHeight="1">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ht="49.5" customHeight="1">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ht="49.5" customHeight="1">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ht="49.5" customHeight="1">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ht="49.5" customHeight="1">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ht="49.5" customHeight="1">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ht="49.5" customHeight="1">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ht="49.5" customHeight="1">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ht="49.5" customHeight="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ht="49.5" customHeight="1">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ht="49.5" customHeight="1">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ht="49.5" customHeight="1">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ht="49.5" customHeight="1">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ht="49.5" customHeight="1">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ht="49.5" customHeight="1">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ht="49.5" customHeight="1">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ht="49.5" customHeight="1">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ht="49.5" customHeight="1">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ht="49.5" customHeight="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ht="49.5" customHeight="1">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ht="49.5" customHeight="1">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ht="49.5" customHeight="1">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ht="49.5" customHeight="1">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ht="49.5" customHeight="1">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ht="49.5" customHeight="1">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ht="49.5" customHeight="1">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ht="49.5" customHeight="1">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ht="49.5" customHeight="1">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ht="49.5" customHeight="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ht="49.5" customHeight="1">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ht="49.5" customHeight="1">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ht="49.5" customHeight="1">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ht="49.5" customHeight="1">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ht="49.5" customHeight="1">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ht="49.5" customHeight="1">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ht="49.5" customHeight="1">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ht="49.5" customHeight="1">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row r="930" ht="49.5" customHeight="1">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row>
    <row r="931" ht="49.5" customHeight="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row>
    <row r="932" ht="49.5" customHeight="1">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row>
    <row r="933" ht="49.5" customHeight="1">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row>
    <row r="934" ht="49.5" customHeight="1">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row>
    <row r="935" ht="49.5" customHeight="1">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row>
    <row r="936" ht="49.5" customHeight="1">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row>
    <row r="937" ht="49.5" customHeight="1">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row>
    <row r="938" ht="49.5" customHeight="1">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row>
    <row r="939" ht="49.5" customHeight="1">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row>
    <row r="940" ht="49.5" customHeight="1">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row>
    <row r="941" ht="49.5" customHeight="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row>
    <row r="942" ht="49.5" customHeight="1">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row>
    <row r="943" ht="49.5" customHeight="1">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row>
    <row r="944" ht="49.5" customHeight="1">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row>
    <row r="945" ht="49.5" customHeight="1">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row>
    <row r="946" ht="49.5" customHeight="1">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row>
    <row r="947" ht="49.5" customHeight="1">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row>
    <row r="948" ht="49.5" customHeight="1">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row>
    <row r="949" ht="49.5" customHeight="1">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row>
    <row r="950" ht="49.5" customHeight="1">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row>
    <row r="951" ht="49.5" customHeight="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row>
    <row r="952" ht="49.5" customHeight="1">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row>
    <row r="953" ht="49.5" customHeight="1">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row>
    <row r="954" ht="49.5" customHeight="1">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row>
    <row r="955" ht="49.5" customHeight="1">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row>
    <row r="956" ht="49.5" customHeight="1">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row>
    <row r="957" ht="49.5" customHeight="1">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row>
    <row r="958" ht="49.5" customHeight="1">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row>
    <row r="959" ht="49.5" customHeight="1">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row>
    <row r="960" ht="49.5" customHeight="1">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row>
    <row r="961" ht="49.5" customHeight="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row>
    <row r="962" ht="49.5" customHeight="1">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row>
    <row r="963" ht="49.5" customHeight="1">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row>
    <row r="964" ht="49.5" customHeight="1">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row>
    <row r="965" ht="49.5" customHeight="1">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row>
    <row r="966" ht="49.5" customHeight="1">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row>
    <row r="967" ht="49.5" customHeight="1">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row>
    <row r="968" ht="49.5" customHeight="1">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row>
    <row r="969" ht="49.5" customHeight="1">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row>
    <row r="970" ht="49.5" customHeight="1">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row>
    <row r="971" ht="49.5" customHeight="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row>
    <row r="972" ht="49.5" customHeight="1">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row>
    <row r="973" ht="49.5" customHeight="1">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row>
    <row r="974" ht="49.5" customHeight="1">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row>
    <row r="975" ht="49.5" customHeight="1">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row>
    <row r="976" ht="49.5" customHeight="1">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row>
    <row r="977" ht="49.5" customHeight="1">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row>
    <row r="978" ht="49.5" customHeight="1">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row>
    <row r="979" ht="49.5" customHeight="1">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row>
    <row r="980" ht="49.5" customHeight="1">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row>
    <row r="981" ht="49.5" customHeight="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row>
    <row r="982" ht="49.5" customHeight="1">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row>
    <row r="983" ht="49.5" customHeight="1">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row>
    <row r="984" ht="49.5" customHeight="1">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row>
    <row r="985" ht="49.5" customHeight="1">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row>
    <row r="986" ht="49.5" customHeight="1">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row>
    <row r="987" ht="49.5" customHeight="1">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row>
    <row r="988" ht="49.5" customHeight="1">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row>
    <row r="989" ht="49.5" customHeight="1">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row>
    <row r="990" ht="49.5" customHeight="1">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row>
    <row r="991" ht="49.5" customHeight="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row>
    <row r="992" ht="49.5" customHeight="1">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row>
    <row r="993" ht="49.5" customHeight="1">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row>
    <row r="994" ht="49.5" customHeight="1">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row>
    <row r="995" ht="49.5" customHeight="1">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row>
    <row r="996" ht="49.5" customHeight="1">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row>
    <row r="997" ht="49.5" customHeight="1">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row>
    <row r="998" ht="49.5" customHeight="1">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row>
    <row r="999" ht="49.5" customHeight="1">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row>
    <row r="1000" ht="49.5" customHeight="1">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row>
  </sheetData>
  <mergeCells count="30">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16:D16"/>
    <mergeCell ref="C17:D17"/>
    <mergeCell ref="C18:D18"/>
    <mergeCell ref="C19:D19"/>
    <mergeCell ref="C20:D20"/>
    <mergeCell ref="C21:D21"/>
    <mergeCell ref="C22:D22"/>
    <mergeCell ref="C30:D30"/>
    <mergeCell ref="C31:D31"/>
    <mergeCell ref="C23:D23"/>
    <mergeCell ref="C24:D24"/>
    <mergeCell ref="C25:D25"/>
    <mergeCell ref="C26:D26"/>
    <mergeCell ref="C27:D27"/>
    <mergeCell ref="C28:D28"/>
    <mergeCell ref="C29:D29"/>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66"/>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11.43"/>
    <col customWidth="1" min="11" max="11" width="14.14"/>
    <col customWidth="1" min="12" max="26" width="11.43"/>
  </cols>
  <sheetData>
    <row r="1" ht="32.25" customHeight="1">
      <c r="A1" s="2"/>
      <c r="B1" s="2"/>
      <c r="C1" s="2"/>
      <c r="D1" s="2"/>
      <c r="E1" s="2"/>
      <c r="F1" s="2"/>
      <c r="G1" s="2"/>
      <c r="H1" s="2"/>
      <c r="I1" s="2"/>
      <c r="J1" s="2"/>
      <c r="K1" s="2"/>
      <c r="L1" s="2"/>
      <c r="M1" s="2"/>
      <c r="N1" s="2"/>
      <c r="O1" s="2"/>
      <c r="P1" s="2"/>
      <c r="Q1" s="2"/>
      <c r="R1" s="2"/>
      <c r="S1" s="2"/>
      <c r="T1" s="2"/>
      <c r="U1" s="2"/>
      <c r="V1" s="2"/>
      <c r="W1" s="2"/>
      <c r="X1" s="2"/>
      <c r="Y1" s="2"/>
      <c r="Z1" s="2"/>
    </row>
    <row r="2" ht="32.25" customHeight="1">
      <c r="A2" s="2"/>
      <c r="B2" s="108" t="s">
        <v>124</v>
      </c>
      <c r="C2" s="27"/>
      <c r="D2" s="27"/>
      <c r="E2" s="27"/>
      <c r="F2" s="27"/>
      <c r="G2" s="27"/>
      <c r="H2" s="27"/>
      <c r="I2" s="27"/>
      <c r="J2" s="2"/>
      <c r="K2" s="109" t="s">
        <v>125</v>
      </c>
      <c r="L2" s="29"/>
      <c r="M2" s="2"/>
      <c r="N2" s="2"/>
      <c r="O2" s="2"/>
      <c r="P2" s="2"/>
      <c r="Q2" s="2"/>
      <c r="R2" s="2"/>
      <c r="S2" s="2"/>
      <c r="T2" s="2"/>
      <c r="U2" s="2"/>
      <c r="V2" s="2"/>
      <c r="W2" s="2"/>
      <c r="X2" s="2"/>
      <c r="Y2" s="2"/>
      <c r="Z2" s="2"/>
    </row>
    <row r="3" ht="32.25" customHeight="1">
      <c r="A3" s="2"/>
      <c r="B3" s="2"/>
      <c r="C3" s="2"/>
      <c r="D3" s="2"/>
      <c r="E3" s="2"/>
      <c r="F3" s="2"/>
      <c r="G3" s="2"/>
      <c r="H3" s="2"/>
      <c r="I3" s="2"/>
      <c r="J3" s="2"/>
      <c r="K3" s="110" t="s">
        <v>126</v>
      </c>
      <c r="L3" s="111">
        <f>COUNT(B12:D99)</f>
        <v>83</v>
      </c>
      <c r="M3" s="2"/>
      <c r="N3" s="2"/>
      <c r="O3" s="2"/>
      <c r="P3" s="2"/>
      <c r="Q3" s="2"/>
      <c r="R3" s="2"/>
      <c r="S3" s="2"/>
      <c r="T3" s="2"/>
      <c r="U3" s="2"/>
      <c r="V3" s="2"/>
      <c r="W3" s="2"/>
      <c r="X3" s="2"/>
      <c r="Y3" s="2"/>
      <c r="Z3" s="2"/>
    </row>
    <row r="4" ht="32.25" customHeight="1">
      <c r="A4" s="2"/>
      <c r="B4" s="112" t="s">
        <v>127</v>
      </c>
      <c r="C4" s="113" t="s">
        <v>128</v>
      </c>
      <c r="E4" s="2"/>
      <c r="F4" s="2"/>
      <c r="G4" s="2"/>
      <c r="H4" s="2"/>
      <c r="I4" s="2"/>
      <c r="J4" s="2"/>
      <c r="K4" s="110" t="s">
        <v>129</v>
      </c>
      <c r="L4" s="111">
        <f>COUNTIF(F12:F99,"X")</f>
        <v>81</v>
      </c>
      <c r="M4" s="2"/>
      <c r="N4" s="2"/>
      <c r="O4" s="2"/>
      <c r="P4" s="2"/>
      <c r="Q4" s="2"/>
      <c r="R4" s="2"/>
      <c r="S4" s="2"/>
      <c r="T4" s="2"/>
      <c r="U4" s="2"/>
      <c r="V4" s="2"/>
      <c r="W4" s="2"/>
      <c r="X4" s="2"/>
      <c r="Y4" s="2"/>
      <c r="Z4" s="2"/>
    </row>
    <row r="5" ht="32.25" customHeight="1">
      <c r="A5" s="2"/>
      <c r="B5" s="112" t="s">
        <v>130</v>
      </c>
      <c r="C5" s="113" t="s">
        <v>131</v>
      </c>
      <c r="E5" s="2"/>
      <c r="F5" s="2"/>
      <c r="G5" s="2"/>
      <c r="H5" s="2"/>
      <c r="I5" s="2"/>
      <c r="J5" s="2"/>
      <c r="K5" s="2"/>
      <c r="L5" s="2"/>
      <c r="M5" s="2"/>
      <c r="N5" s="2"/>
      <c r="O5" s="2"/>
      <c r="P5" s="2"/>
      <c r="Q5" s="2"/>
      <c r="R5" s="2"/>
      <c r="S5" s="2"/>
      <c r="T5" s="2"/>
      <c r="U5" s="2"/>
      <c r="V5" s="2"/>
      <c r="W5" s="2"/>
      <c r="X5" s="2"/>
      <c r="Y5" s="2"/>
      <c r="Z5" s="2"/>
    </row>
    <row r="6" ht="32.25" customHeight="1">
      <c r="A6" s="2"/>
      <c r="B6" s="112" t="s">
        <v>132</v>
      </c>
      <c r="C6" s="113" t="s">
        <v>133</v>
      </c>
      <c r="E6" s="2"/>
      <c r="F6" s="2"/>
      <c r="G6" s="2"/>
      <c r="H6" s="2"/>
      <c r="I6" s="2"/>
      <c r="J6" s="2"/>
      <c r="K6" s="110" t="s">
        <v>134</v>
      </c>
      <c r="L6" s="114" t="str">
        <f>PERCENTOF(L4,L3)</f>
        <v>#NAME?</v>
      </c>
      <c r="M6" s="2"/>
      <c r="N6" s="2"/>
      <c r="O6" s="2"/>
      <c r="P6" s="2"/>
      <c r="Q6" s="2"/>
      <c r="R6" s="2"/>
      <c r="S6" s="2"/>
      <c r="T6" s="2"/>
      <c r="U6" s="2"/>
      <c r="V6" s="2"/>
      <c r="W6" s="2"/>
      <c r="X6" s="2"/>
      <c r="Y6" s="2"/>
      <c r="Z6" s="2"/>
    </row>
    <row r="7" ht="32.25" customHeight="1">
      <c r="A7" s="2"/>
      <c r="B7" s="115" t="s">
        <v>135</v>
      </c>
      <c r="D7" s="113" t="s">
        <v>136</v>
      </c>
      <c r="E7" s="2"/>
      <c r="F7" s="2"/>
      <c r="G7" s="2"/>
      <c r="H7" s="2"/>
      <c r="I7" s="2"/>
      <c r="J7" s="2"/>
      <c r="K7" s="2"/>
      <c r="L7" s="2"/>
      <c r="M7" s="2"/>
      <c r="N7" s="2"/>
      <c r="O7" s="2"/>
      <c r="P7" s="2"/>
      <c r="Q7" s="2"/>
      <c r="R7" s="2"/>
      <c r="S7" s="2"/>
      <c r="T7" s="2"/>
      <c r="U7" s="2"/>
      <c r="V7" s="2"/>
      <c r="W7" s="2"/>
      <c r="X7" s="2"/>
      <c r="Y7" s="2"/>
      <c r="Z7" s="2"/>
    </row>
    <row r="8" ht="32.25" customHeight="1">
      <c r="A8" s="2"/>
      <c r="B8" s="116" t="s">
        <v>249</v>
      </c>
      <c r="E8" s="2"/>
      <c r="F8" s="2"/>
      <c r="G8" s="2"/>
      <c r="H8" s="2"/>
      <c r="I8" s="2"/>
      <c r="J8" s="2"/>
      <c r="K8" s="2"/>
      <c r="L8" s="2"/>
      <c r="M8" s="2"/>
      <c r="N8" s="2"/>
      <c r="O8" s="2"/>
      <c r="P8" s="2"/>
      <c r="Q8" s="2"/>
      <c r="R8" s="2"/>
      <c r="S8" s="2"/>
      <c r="T8" s="2"/>
      <c r="U8" s="2"/>
      <c r="V8" s="2"/>
      <c r="W8" s="2"/>
      <c r="X8" s="2"/>
      <c r="Y8" s="2"/>
      <c r="Z8" s="2"/>
    </row>
    <row r="9" ht="32.25" customHeight="1">
      <c r="A9" s="2"/>
      <c r="B9" s="2"/>
      <c r="C9" s="2"/>
      <c r="D9" s="2"/>
      <c r="E9" s="2"/>
      <c r="F9" s="90" t="s">
        <v>137</v>
      </c>
      <c r="G9" s="38"/>
      <c r="H9" s="39"/>
      <c r="I9" s="91" t="s">
        <v>250</v>
      </c>
      <c r="J9" s="2"/>
      <c r="K9" s="2"/>
      <c r="L9" s="2"/>
      <c r="M9" s="2"/>
      <c r="N9" s="2"/>
      <c r="O9" s="2"/>
      <c r="P9" s="2"/>
      <c r="Q9" s="2"/>
      <c r="R9" s="2"/>
      <c r="S9" s="2"/>
      <c r="T9" s="2"/>
      <c r="U9" s="2"/>
      <c r="V9" s="2"/>
      <c r="W9" s="2"/>
      <c r="X9" s="2"/>
      <c r="Y9" s="2"/>
      <c r="Z9" s="2"/>
    </row>
    <row r="10" ht="32.25" customHeight="1">
      <c r="A10" s="2"/>
      <c r="B10" s="117" t="s">
        <v>251</v>
      </c>
      <c r="C10" s="27"/>
      <c r="D10" s="27"/>
      <c r="E10" s="118"/>
      <c r="F10" s="94" t="s">
        <v>127</v>
      </c>
      <c r="G10" s="95" t="s">
        <v>130</v>
      </c>
      <c r="H10" s="95" t="s">
        <v>132</v>
      </c>
      <c r="I10" s="46"/>
      <c r="J10" s="93"/>
      <c r="K10" s="2"/>
      <c r="L10" s="2"/>
      <c r="M10" s="2"/>
      <c r="N10" s="2"/>
      <c r="O10" s="2"/>
      <c r="P10" s="2"/>
      <c r="Q10" s="2"/>
      <c r="R10" s="2"/>
      <c r="S10" s="2"/>
      <c r="T10" s="2"/>
      <c r="U10" s="2"/>
      <c r="V10" s="2"/>
      <c r="W10" s="2"/>
      <c r="X10" s="2"/>
      <c r="Y10" s="2"/>
      <c r="Z10" s="2"/>
    </row>
    <row r="11" ht="32.25" customHeight="1">
      <c r="A11" s="2"/>
      <c r="B11" s="2"/>
      <c r="C11" s="119"/>
      <c r="D11" s="120"/>
      <c r="E11" s="2"/>
      <c r="F11" s="121"/>
      <c r="G11" s="121"/>
      <c r="H11" s="121"/>
      <c r="I11" s="121"/>
      <c r="J11" s="2"/>
      <c r="K11" s="2"/>
      <c r="L11" s="2"/>
      <c r="M11" s="2"/>
      <c r="N11" s="2"/>
      <c r="O11" s="2"/>
      <c r="P11" s="2"/>
      <c r="Q11" s="2"/>
      <c r="R11" s="2"/>
      <c r="S11" s="2"/>
      <c r="T11" s="2"/>
      <c r="U11" s="2"/>
      <c r="V11" s="2"/>
      <c r="W11" s="2"/>
      <c r="X11" s="2"/>
      <c r="Y11" s="2"/>
      <c r="Z11" s="2"/>
    </row>
    <row r="12" ht="32.25" customHeight="1">
      <c r="A12" s="2"/>
      <c r="B12" s="122">
        <v>1.0</v>
      </c>
      <c r="C12" s="123" t="s">
        <v>252</v>
      </c>
      <c r="D12" s="11"/>
      <c r="E12" s="2"/>
      <c r="F12" s="124" t="s">
        <v>169</v>
      </c>
      <c r="G12" s="124"/>
      <c r="H12" s="125"/>
      <c r="I12" s="126" t="s">
        <v>253</v>
      </c>
      <c r="J12" s="2"/>
      <c r="K12" s="2"/>
      <c r="L12" s="2"/>
      <c r="M12" s="2"/>
      <c r="N12" s="2"/>
      <c r="O12" s="2"/>
      <c r="P12" s="2"/>
      <c r="Q12" s="2"/>
      <c r="R12" s="2"/>
      <c r="S12" s="2"/>
      <c r="T12" s="2"/>
      <c r="U12" s="2"/>
      <c r="V12" s="2"/>
      <c r="W12" s="2"/>
      <c r="X12" s="2"/>
      <c r="Y12" s="2"/>
      <c r="Z12" s="2"/>
    </row>
    <row r="13" ht="32.25" customHeight="1">
      <c r="A13" s="2"/>
      <c r="B13" s="127">
        <v>2.0</v>
      </c>
      <c r="C13" s="128" t="s">
        <v>254</v>
      </c>
      <c r="D13" s="11"/>
      <c r="E13" s="2"/>
      <c r="F13" s="124" t="s">
        <v>169</v>
      </c>
      <c r="G13" s="124"/>
      <c r="H13" s="125"/>
      <c r="I13" s="126" t="s">
        <v>255</v>
      </c>
      <c r="J13" s="2"/>
      <c r="K13" s="2"/>
      <c r="L13" s="2"/>
      <c r="M13" s="2"/>
      <c r="N13" s="2"/>
      <c r="O13" s="2"/>
      <c r="P13" s="2"/>
      <c r="Q13" s="2"/>
      <c r="R13" s="2"/>
      <c r="S13" s="2"/>
      <c r="T13" s="2"/>
      <c r="U13" s="2"/>
      <c r="V13" s="2"/>
      <c r="W13" s="2"/>
      <c r="X13" s="2"/>
      <c r="Y13" s="2"/>
      <c r="Z13" s="2"/>
    </row>
    <row r="14" ht="32.25" customHeight="1">
      <c r="A14" s="2"/>
      <c r="B14" s="127">
        <v>3.0</v>
      </c>
      <c r="C14" s="128" t="s">
        <v>256</v>
      </c>
      <c r="D14" s="11"/>
      <c r="E14" s="2"/>
      <c r="F14" s="124" t="s">
        <v>169</v>
      </c>
      <c r="G14" s="124"/>
      <c r="H14" s="125"/>
      <c r="I14" s="126" t="s">
        <v>255</v>
      </c>
      <c r="J14" s="2"/>
      <c r="K14" s="2"/>
      <c r="L14" s="2"/>
      <c r="M14" s="2"/>
      <c r="N14" s="2"/>
      <c r="O14" s="2"/>
      <c r="P14" s="2"/>
      <c r="Q14" s="2"/>
      <c r="R14" s="2"/>
      <c r="S14" s="2"/>
      <c r="T14" s="2"/>
      <c r="U14" s="2"/>
      <c r="V14" s="2"/>
      <c r="W14" s="2"/>
      <c r="X14" s="2"/>
      <c r="Y14" s="2"/>
      <c r="Z14" s="2"/>
    </row>
    <row r="15" ht="32.25" customHeight="1">
      <c r="A15" s="2"/>
      <c r="B15" s="129">
        <v>4.0</v>
      </c>
      <c r="C15" s="128" t="s">
        <v>257</v>
      </c>
      <c r="D15" s="11"/>
      <c r="E15" s="2"/>
      <c r="F15" s="130" t="s">
        <v>169</v>
      </c>
      <c r="G15" s="130"/>
      <c r="H15" s="125"/>
      <c r="I15" s="131" t="s">
        <v>255</v>
      </c>
      <c r="J15" s="2"/>
      <c r="K15" s="2"/>
      <c r="L15" s="2"/>
      <c r="M15" s="2"/>
      <c r="N15" s="2"/>
      <c r="O15" s="2"/>
      <c r="P15" s="2"/>
      <c r="Q15" s="2"/>
      <c r="R15" s="2"/>
      <c r="S15" s="2"/>
      <c r="T15" s="2"/>
      <c r="U15" s="2"/>
      <c r="V15" s="2"/>
      <c r="W15" s="2"/>
      <c r="X15" s="2"/>
      <c r="Y15" s="2"/>
      <c r="Z15" s="2"/>
    </row>
    <row r="16" ht="32.25" customHeight="1">
      <c r="A16" s="2"/>
      <c r="B16" s="129">
        <v>5.0</v>
      </c>
      <c r="C16" s="128" t="s">
        <v>258</v>
      </c>
      <c r="D16" s="11"/>
      <c r="E16" s="2"/>
      <c r="F16" s="110" t="s">
        <v>169</v>
      </c>
      <c r="G16" s="110"/>
      <c r="H16" s="125"/>
      <c r="I16" s="110" t="s">
        <v>255</v>
      </c>
      <c r="J16" s="2"/>
      <c r="K16" s="2"/>
      <c r="L16" s="2"/>
      <c r="M16" s="2"/>
      <c r="N16" s="2"/>
      <c r="O16" s="2"/>
      <c r="P16" s="2"/>
      <c r="Q16" s="2"/>
      <c r="R16" s="2"/>
      <c r="S16" s="2"/>
      <c r="T16" s="2"/>
      <c r="U16" s="2"/>
      <c r="V16" s="2"/>
      <c r="W16" s="2"/>
      <c r="X16" s="2"/>
      <c r="Y16" s="2"/>
      <c r="Z16" s="2"/>
    </row>
    <row r="17" ht="32.25" customHeight="1">
      <c r="A17" s="2"/>
      <c r="B17" s="129">
        <v>6.0</v>
      </c>
      <c r="C17" s="128" t="s">
        <v>259</v>
      </c>
      <c r="D17" s="11"/>
      <c r="E17" s="2"/>
      <c r="F17" s="110" t="s">
        <v>169</v>
      </c>
      <c r="G17" s="110"/>
      <c r="H17" s="125"/>
      <c r="I17" s="110" t="s">
        <v>260</v>
      </c>
      <c r="J17" s="2"/>
      <c r="K17" s="2"/>
      <c r="L17" s="2"/>
      <c r="M17" s="2"/>
      <c r="N17" s="2"/>
      <c r="O17" s="2"/>
      <c r="P17" s="2"/>
      <c r="Q17" s="2"/>
      <c r="R17" s="2"/>
      <c r="S17" s="2"/>
      <c r="T17" s="2"/>
      <c r="U17" s="2"/>
      <c r="V17" s="2"/>
      <c r="W17" s="2"/>
      <c r="X17" s="2"/>
      <c r="Y17" s="2"/>
      <c r="Z17" s="2"/>
    </row>
    <row r="18" ht="32.25" customHeight="1">
      <c r="A18" s="2"/>
      <c r="B18" s="129">
        <v>7.0</v>
      </c>
      <c r="C18" s="128" t="s">
        <v>261</v>
      </c>
      <c r="D18" s="11"/>
      <c r="E18" s="2"/>
      <c r="F18" s="110" t="s">
        <v>169</v>
      </c>
      <c r="G18" s="110"/>
      <c r="H18" s="125"/>
      <c r="I18" s="110" t="s">
        <v>255</v>
      </c>
      <c r="J18" s="2"/>
      <c r="K18" s="2"/>
      <c r="L18" s="2"/>
      <c r="M18" s="2"/>
      <c r="N18" s="2"/>
      <c r="O18" s="2"/>
      <c r="P18" s="2"/>
      <c r="Q18" s="2"/>
      <c r="R18" s="2"/>
      <c r="S18" s="2"/>
      <c r="T18" s="2"/>
      <c r="U18" s="2"/>
      <c r="V18" s="2"/>
      <c r="W18" s="2"/>
      <c r="X18" s="2"/>
      <c r="Y18" s="2"/>
      <c r="Z18" s="2"/>
    </row>
    <row r="19" ht="32.25" customHeight="1">
      <c r="A19" s="2"/>
      <c r="B19" s="129">
        <v>8.0</v>
      </c>
      <c r="C19" s="128" t="s">
        <v>262</v>
      </c>
      <c r="D19" s="11"/>
      <c r="E19" s="2"/>
      <c r="F19" s="110" t="s">
        <v>169</v>
      </c>
      <c r="G19" s="110"/>
      <c r="H19" s="125"/>
      <c r="I19" s="110" t="s">
        <v>255</v>
      </c>
      <c r="J19" s="2"/>
      <c r="K19" s="2"/>
      <c r="L19" s="2"/>
      <c r="M19" s="2"/>
      <c r="N19" s="2"/>
      <c r="O19" s="2"/>
      <c r="P19" s="2"/>
      <c r="Q19" s="2"/>
      <c r="R19" s="2"/>
      <c r="S19" s="2"/>
      <c r="T19" s="2"/>
      <c r="U19" s="2"/>
      <c r="V19" s="2"/>
      <c r="W19" s="2"/>
      <c r="X19" s="2"/>
      <c r="Y19" s="2"/>
      <c r="Z19" s="2"/>
    </row>
    <row r="20" ht="32.25" customHeight="1">
      <c r="A20" s="2"/>
      <c r="B20" s="129">
        <v>9.0</v>
      </c>
      <c r="C20" s="128" t="s">
        <v>263</v>
      </c>
      <c r="D20" s="11"/>
      <c r="E20" s="2"/>
      <c r="F20" s="124" t="s">
        <v>169</v>
      </c>
      <c r="G20" s="124"/>
      <c r="H20" s="125"/>
      <c r="I20" s="126" t="s">
        <v>264</v>
      </c>
      <c r="J20" s="2"/>
      <c r="K20" s="2"/>
      <c r="L20" s="2"/>
      <c r="M20" s="2"/>
      <c r="N20" s="2"/>
      <c r="O20" s="2"/>
      <c r="P20" s="2"/>
      <c r="Q20" s="2"/>
      <c r="R20" s="2"/>
      <c r="S20" s="2"/>
      <c r="T20" s="2"/>
      <c r="U20" s="2"/>
      <c r="V20" s="2"/>
      <c r="W20" s="2"/>
      <c r="X20" s="2"/>
      <c r="Y20" s="2"/>
      <c r="Z20" s="2"/>
    </row>
    <row r="21" ht="32.25" customHeight="1">
      <c r="A21" s="2"/>
      <c r="B21" s="129">
        <v>10.0</v>
      </c>
      <c r="C21" s="128" t="s">
        <v>265</v>
      </c>
      <c r="D21" s="11"/>
      <c r="E21" s="2"/>
      <c r="F21" s="124" t="s">
        <v>169</v>
      </c>
      <c r="G21" s="124"/>
      <c r="H21" s="125"/>
      <c r="I21" s="126" t="s">
        <v>255</v>
      </c>
      <c r="J21" s="2"/>
      <c r="K21" s="2"/>
      <c r="L21" s="2"/>
      <c r="M21" s="2"/>
      <c r="N21" s="2"/>
      <c r="O21" s="2"/>
      <c r="P21" s="2"/>
      <c r="Q21" s="2"/>
      <c r="R21" s="2"/>
      <c r="S21" s="2"/>
      <c r="T21" s="2"/>
      <c r="U21" s="2"/>
      <c r="V21" s="2"/>
      <c r="W21" s="2"/>
      <c r="X21" s="2"/>
      <c r="Y21" s="2"/>
      <c r="Z21" s="2"/>
    </row>
    <row r="22" ht="32.25" customHeight="1">
      <c r="A22" s="2"/>
      <c r="B22" s="129">
        <v>11.0</v>
      </c>
      <c r="C22" s="128" t="s">
        <v>266</v>
      </c>
      <c r="D22" s="11"/>
      <c r="E22" s="2"/>
      <c r="F22" s="124" t="s">
        <v>169</v>
      </c>
      <c r="G22" s="124"/>
      <c r="H22" s="125"/>
      <c r="I22" s="126" t="s">
        <v>267</v>
      </c>
      <c r="J22" s="2"/>
      <c r="K22" s="2"/>
      <c r="L22" s="2"/>
      <c r="M22" s="2"/>
      <c r="N22" s="2"/>
      <c r="O22" s="2"/>
      <c r="P22" s="2"/>
      <c r="Q22" s="2"/>
      <c r="R22" s="2"/>
      <c r="S22" s="2"/>
      <c r="T22" s="2"/>
      <c r="U22" s="2"/>
      <c r="V22" s="2"/>
      <c r="W22" s="2"/>
      <c r="X22" s="2"/>
      <c r="Y22" s="2"/>
      <c r="Z22" s="2"/>
    </row>
    <row r="23" ht="32.25" customHeight="1">
      <c r="A23" s="2"/>
      <c r="B23" s="129">
        <v>12.0</v>
      </c>
      <c r="C23" s="128" t="s">
        <v>268</v>
      </c>
      <c r="D23" s="11"/>
      <c r="E23" s="2"/>
      <c r="F23" s="130" t="s">
        <v>169</v>
      </c>
      <c r="G23" s="130"/>
      <c r="H23" s="125"/>
      <c r="I23" s="131" t="s">
        <v>269</v>
      </c>
      <c r="J23" s="2"/>
      <c r="K23" s="2"/>
      <c r="L23" s="2"/>
      <c r="M23" s="2"/>
      <c r="N23" s="2"/>
      <c r="O23" s="2"/>
      <c r="P23" s="2"/>
      <c r="Q23" s="2"/>
      <c r="R23" s="2"/>
      <c r="S23" s="2"/>
      <c r="T23" s="2"/>
      <c r="U23" s="2"/>
      <c r="V23" s="2"/>
      <c r="W23" s="2"/>
      <c r="X23" s="2"/>
      <c r="Y23" s="2"/>
      <c r="Z23" s="2"/>
    </row>
    <row r="24" ht="32.25" customHeight="1">
      <c r="A24" s="2"/>
      <c r="B24" s="129">
        <v>13.0</v>
      </c>
      <c r="C24" s="128" t="s">
        <v>270</v>
      </c>
      <c r="D24" s="11"/>
      <c r="E24" s="2"/>
      <c r="F24" s="110" t="s">
        <v>169</v>
      </c>
      <c r="G24" s="110"/>
      <c r="H24" s="125"/>
      <c r="I24" s="110" t="s">
        <v>255</v>
      </c>
      <c r="J24" s="2"/>
      <c r="K24" s="2"/>
      <c r="L24" s="2"/>
      <c r="M24" s="2"/>
      <c r="N24" s="2"/>
      <c r="O24" s="2"/>
      <c r="P24" s="2"/>
      <c r="Q24" s="2"/>
      <c r="R24" s="2"/>
      <c r="S24" s="2"/>
      <c r="T24" s="2"/>
      <c r="U24" s="2"/>
      <c r="V24" s="2"/>
      <c r="W24" s="2"/>
      <c r="X24" s="2"/>
      <c r="Y24" s="2"/>
      <c r="Z24" s="2"/>
    </row>
    <row r="25" ht="32.25" customHeight="1">
      <c r="A25" s="2"/>
      <c r="B25" s="129">
        <v>14.0</v>
      </c>
      <c r="C25" s="128" t="s">
        <v>271</v>
      </c>
      <c r="D25" s="11"/>
      <c r="E25" s="2"/>
      <c r="F25" s="110" t="s">
        <v>169</v>
      </c>
      <c r="G25" s="110"/>
      <c r="H25" s="125"/>
      <c r="I25" s="110" t="s">
        <v>255</v>
      </c>
      <c r="J25" s="2"/>
      <c r="K25" s="2"/>
      <c r="L25" s="2"/>
      <c r="M25" s="2"/>
      <c r="N25" s="2"/>
      <c r="O25" s="2"/>
      <c r="P25" s="2"/>
      <c r="Q25" s="2"/>
      <c r="R25" s="2"/>
      <c r="S25" s="2"/>
      <c r="T25" s="2"/>
      <c r="U25" s="2"/>
      <c r="V25" s="2"/>
      <c r="W25" s="2"/>
      <c r="X25" s="2"/>
      <c r="Y25" s="2"/>
      <c r="Z25" s="2"/>
    </row>
    <row r="26" ht="32.25" customHeight="1">
      <c r="A26" s="2"/>
      <c r="B26" s="129">
        <v>15.0</v>
      </c>
      <c r="C26" s="128" t="s">
        <v>272</v>
      </c>
      <c r="D26" s="11"/>
      <c r="E26" s="2"/>
      <c r="F26" s="132" t="s">
        <v>141</v>
      </c>
      <c r="G26" s="110"/>
      <c r="H26" s="125"/>
      <c r="I26" s="110"/>
      <c r="J26" s="2"/>
      <c r="K26" s="2"/>
      <c r="L26" s="2"/>
      <c r="M26" s="2"/>
      <c r="N26" s="2"/>
      <c r="O26" s="2"/>
      <c r="P26" s="2"/>
      <c r="Q26" s="2"/>
      <c r="R26" s="2"/>
      <c r="S26" s="2"/>
      <c r="T26" s="2"/>
      <c r="U26" s="2"/>
      <c r="V26" s="2"/>
      <c r="W26" s="2"/>
      <c r="X26" s="2"/>
      <c r="Y26" s="2"/>
      <c r="Z26" s="2"/>
    </row>
    <row r="27" ht="32.25" customHeight="1">
      <c r="A27" s="2"/>
      <c r="B27" s="129">
        <v>16.0</v>
      </c>
      <c r="C27" s="128" t="s">
        <v>273</v>
      </c>
      <c r="D27" s="11"/>
      <c r="E27" s="2"/>
      <c r="F27" s="110" t="s">
        <v>169</v>
      </c>
      <c r="G27" s="110"/>
      <c r="H27" s="125"/>
      <c r="I27" s="110" t="s">
        <v>274</v>
      </c>
      <c r="J27" s="2"/>
      <c r="K27" s="2"/>
      <c r="L27" s="2"/>
      <c r="M27" s="2"/>
      <c r="N27" s="2"/>
      <c r="O27" s="2"/>
      <c r="P27" s="2"/>
      <c r="Q27" s="2"/>
      <c r="R27" s="2"/>
      <c r="S27" s="2"/>
      <c r="T27" s="2"/>
      <c r="U27" s="2"/>
      <c r="V27" s="2"/>
      <c r="W27" s="2"/>
      <c r="X27" s="2"/>
      <c r="Y27" s="2"/>
      <c r="Z27" s="2"/>
    </row>
    <row r="28" ht="32.25" customHeight="1">
      <c r="A28" s="2"/>
      <c r="B28" s="129">
        <v>17.0</v>
      </c>
      <c r="C28" s="123" t="s">
        <v>275</v>
      </c>
      <c r="D28" s="11"/>
      <c r="E28" s="2"/>
      <c r="F28" s="133" t="s">
        <v>141</v>
      </c>
      <c r="G28" s="124"/>
      <c r="H28" s="125"/>
      <c r="I28" s="126"/>
      <c r="J28" s="2"/>
      <c r="K28" s="2"/>
      <c r="L28" s="2"/>
      <c r="M28" s="2"/>
      <c r="N28" s="2"/>
      <c r="O28" s="2"/>
      <c r="P28" s="2"/>
      <c r="Q28" s="2"/>
      <c r="R28" s="2"/>
      <c r="S28" s="2"/>
      <c r="T28" s="2"/>
      <c r="U28" s="2"/>
      <c r="V28" s="2"/>
      <c r="W28" s="2"/>
      <c r="X28" s="2"/>
      <c r="Y28" s="2"/>
      <c r="Z28" s="2"/>
    </row>
    <row r="29" ht="32.25" customHeight="1">
      <c r="A29" s="2"/>
      <c r="B29" s="129">
        <v>18.0</v>
      </c>
      <c r="C29" s="128" t="s">
        <v>276</v>
      </c>
      <c r="D29" s="11"/>
      <c r="E29" s="2"/>
      <c r="F29" s="124" t="s">
        <v>169</v>
      </c>
      <c r="G29" s="124"/>
      <c r="H29" s="125"/>
      <c r="I29" s="126" t="s">
        <v>277</v>
      </c>
      <c r="J29" s="2"/>
      <c r="K29" s="2"/>
      <c r="L29" s="2"/>
      <c r="M29" s="2"/>
      <c r="N29" s="2"/>
      <c r="O29" s="2"/>
      <c r="P29" s="2"/>
      <c r="Q29" s="2"/>
      <c r="R29" s="2"/>
      <c r="S29" s="2"/>
      <c r="T29" s="2"/>
      <c r="U29" s="2"/>
      <c r="V29" s="2"/>
      <c r="W29" s="2"/>
      <c r="X29" s="2"/>
      <c r="Y29" s="2"/>
      <c r="Z29" s="2"/>
    </row>
    <row r="30" ht="32.25" customHeight="1">
      <c r="A30" s="2"/>
      <c r="B30" s="129">
        <v>19.0</v>
      </c>
      <c r="C30" s="128" t="s">
        <v>278</v>
      </c>
      <c r="D30" s="11"/>
      <c r="E30" s="2"/>
      <c r="F30" s="124" t="s">
        <v>169</v>
      </c>
      <c r="G30" s="124"/>
      <c r="H30" s="125"/>
      <c r="I30" s="126" t="s">
        <v>255</v>
      </c>
      <c r="J30" s="2"/>
      <c r="K30" s="2"/>
      <c r="L30" s="2"/>
      <c r="M30" s="2"/>
      <c r="N30" s="2"/>
      <c r="O30" s="2"/>
      <c r="P30" s="2"/>
      <c r="Q30" s="2"/>
      <c r="R30" s="2"/>
      <c r="S30" s="2"/>
      <c r="T30" s="2"/>
      <c r="U30" s="2"/>
      <c r="V30" s="2"/>
      <c r="W30" s="2"/>
      <c r="X30" s="2"/>
      <c r="Y30" s="2"/>
      <c r="Z30" s="2"/>
    </row>
    <row r="31" ht="32.25" customHeight="1">
      <c r="A31" s="2"/>
      <c r="B31" s="129">
        <v>20.0</v>
      </c>
      <c r="C31" s="128" t="s">
        <v>279</v>
      </c>
      <c r="D31" s="11"/>
      <c r="E31" s="2"/>
      <c r="F31" s="130" t="s">
        <v>169</v>
      </c>
      <c r="G31" s="130"/>
      <c r="H31" s="125"/>
      <c r="I31" s="131" t="s">
        <v>255</v>
      </c>
      <c r="J31" s="2"/>
      <c r="K31" s="2"/>
      <c r="L31" s="2"/>
      <c r="M31" s="2"/>
      <c r="N31" s="2"/>
      <c r="O31" s="2"/>
      <c r="P31" s="2"/>
      <c r="Q31" s="2"/>
      <c r="R31" s="2"/>
      <c r="S31" s="2"/>
      <c r="T31" s="2"/>
      <c r="U31" s="2"/>
      <c r="V31" s="2"/>
      <c r="W31" s="2"/>
      <c r="X31" s="2"/>
      <c r="Y31" s="2"/>
      <c r="Z31" s="2"/>
    </row>
    <row r="32" ht="32.25" customHeight="1">
      <c r="A32" s="2"/>
      <c r="B32" s="129">
        <v>21.0</v>
      </c>
      <c r="C32" s="128" t="s">
        <v>280</v>
      </c>
      <c r="D32" s="11"/>
      <c r="E32" s="2"/>
      <c r="F32" s="110" t="s">
        <v>169</v>
      </c>
      <c r="G32" s="110"/>
      <c r="H32" s="125"/>
      <c r="I32" s="110" t="s">
        <v>255</v>
      </c>
      <c r="J32" s="2"/>
      <c r="K32" s="2"/>
      <c r="L32" s="2"/>
      <c r="M32" s="2"/>
      <c r="N32" s="2"/>
      <c r="O32" s="2"/>
      <c r="P32" s="2"/>
      <c r="Q32" s="2"/>
      <c r="R32" s="2"/>
      <c r="S32" s="2"/>
      <c r="T32" s="2"/>
      <c r="U32" s="2"/>
      <c r="V32" s="2"/>
      <c r="W32" s="2"/>
      <c r="X32" s="2"/>
      <c r="Y32" s="2"/>
      <c r="Z32" s="2"/>
    </row>
    <row r="33" ht="32.25" customHeight="1">
      <c r="A33" s="2"/>
      <c r="B33" s="129">
        <v>22.0</v>
      </c>
      <c r="C33" s="128" t="s">
        <v>281</v>
      </c>
      <c r="D33" s="11"/>
      <c r="E33" s="2"/>
      <c r="F33" s="110" t="s">
        <v>169</v>
      </c>
      <c r="G33" s="110"/>
      <c r="H33" s="125"/>
      <c r="I33" s="110" t="s">
        <v>255</v>
      </c>
      <c r="J33" s="2"/>
      <c r="K33" s="2"/>
      <c r="L33" s="2"/>
      <c r="M33" s="2"/>
      <c r="N33" s="2"/>
      <c r="O33" s="2"/>
      <c r="P33" s="2"/>
      <c r="Q33" s="2"/>
      <c r="R33" s="2"/>
      <c r="S33" s="2"/>
      <c r="T33" s="2"/>
      <c r="U33" s="2"/>
      <c r="V33" s="2"/>
      <c r="W33" s="2"/>
      <c r="X33" s="2"/>
      <c r="Y33" s="2"/>
      <c r="Z33" s="2"/>
    </row>
    <row r="34" ht="32.25" customHeight="1">
      <c r="A34" s="2"/>
      <c r="B34" s="129">
        <v>23.0</v>
      </c>
      <c r="C34" s="128" t="s">
        <v>282</v>
      </c>
      <c r="D34" s="11"/>
      <c r="E34" s="2"/>
      <c r="F34" s="110" t="s">
        <v>169</v>
      </c>
      <c r="G34" s="110"/>
      <c r="H34" s="125"/>
      <c r="I34" s="110" t="s">
        <v>255</v>
      </c>
      <c r="J34" s="2"/>
      <c r="K34" s="2"/>
      <c r="L34" s="2"/>
      <c r="M34" s="2"/>
      <c r="N34" s="2"/>
      <c r="O34" s="2"/>
      <c r="P34" s="2"/>
      <c r="Q34" s="2"/>
      <c r="R34" s="2"/>
      <c r="S34" s="2"/>
      <c r="T34" s="2"/>
      <c r="U34" s="2"/>
      <c r="V34" s="2"/>
      <c r="W34" s="2"/>
      <c r="X34" s="2"/>
      <c r="Y34" s="2"/>
      <c r="Z34" s="2"/>
    </row>
    <row r="35" ht="32.25" customHeight="1">
      <c r="A35" s="2"/>
      <c r="B35" s="129">
        <v>24.0</v>
      </c>
      <c r="C35" s="128" t="s">
        <v>283</v>
      </c>
      <c r="D35" s="11"/>
      <c r="E35" s="2"/>
      <c r="F35" s="110" t="s">
        <v>169</v>
      </c>
      <c r="G35" s="110"/>
      <c r="H35" s="125"/>
      <c r="I35" s="110" t="s">
        <v>255</v>
      </c>
      <c r="J35" s="2"/>
      <c r="K35" s="2"/>
      <c r="L35" s="2"/>
      <c r="M35" s="2"/>
      <c r="N35" s="2"/>
      <c r="O35" s="2"/>
      <c r="P35" s="2"/>
      <c r="Q35" s="2"/>
      <c r="R35" s="2"/>
      <c r="S35" s="2"/>
      <c r="T35" s="2"/>
      <c r="U35" s="2"/>
      <c r="V35" s="2"/>
      <c r="W35" s="2"/>
      <c r="X35" s="2"/>
      <c r="Y35" s="2"/>
      <c r="Z35" s="2"/>
    </row>
    <row r="36" ht="32.25" customHeight="1">
      <c r="A36" s="2"/>
      <c r="B36" s="129">
        <v>25.0</v>
      </c>
      <c r="C36" s="128" t="s">
        <v>284</v>
      </c>
      <c r="D36" s="11"/>
      <c r="E36" s="2"/>
      <c r="F36" s="124" t="s">
        <v>169</v>
      </c>
      <c r="G36" s="124"/>
      <c r="H36" s="125"/>
      <c r="I36" s="126" t="s">
        <v>285</v>
      </c>
      <c r="J36" s="2"/>
      <c r="K36" s="2"/>
      <c r="L36" s="2"/>
      <c r="M36" s="2"/>
      <c r="N36" s="2"/>
      <c r="O36" s="2"/>
      <c r="P36" s="2"/>
      <c r="Q36" s="2"/>
      <c r="R36" s="2"/>
      <c r="S36" s="2"/>
      <c r="T36" s="2"/>
      <c r="U36" s="2"/>
      <c r="V36" s="2"/>
      <c r="W36" s="2"/>
      <c r="X36" s="2"/>
      <c r="Y36" s="2"/>
      <c r="Z36" s="2"/>
    </row>
    <row r="37" ht="32.25" customHeight="1">
      <c r="A37" s="2"/>
      <c r="B37" s="129">
        <v>26.0</v>
      </c>
      <c r="C37" s="128" t="s">
        <v>286</v>
      </c>
      <c r="D37" s="11"/>
      <c r="E37" s="2"/>
      <c r="F37" s="124" t="s">
        <v>169</v>
      </c>
      <c r="G37" s="124"/>
      <c r="H37" s="125"/>
      <c r="I37" s="126" t="s">
        <v>287</v>
      </c>
      <c r="J37" s="2"/>
      <c r="K37" s="2"/>
      <c r="L37" s="2"/>
      <c r="M37" s="2"/>
      <c r="N37" s="2"/>
      <c r="O37" s="2"/>
      <c r="P37" s="2"/>
      <c r="Q37" s="2"/>
      <c r="R37" s="2"/>
      <c r="S37" s="2"/>
      <c r="T37" s="2"/>
      <c r="U37" s="2"/>
      <c r="V37" s="2"/>
      <c r="W37" s="2"/>
      <c r="X37" s="2"/>
      <c r="Y37" s="2"/>
      <c r="Z37" s="2"/>
    </row>
    <row r="38" ht="32.25" customHeight="1">
      <c r="A38" s="2"/>
      <c r="B38" s="129">
        <v>27.0</v>
      </c>
      <c r="C38" s="128" t="s">
        <v>288</v>
      </c>
      <c r="D38" s="11"/>
      <c r="E38" s="2"/>
      <c r="F38" s="124" t="s">
        <v>169</v>
      </c>
      <c r="G38" s="124"/>
      <c r="H38" s="125"/>
      <c r="I38" s="126" t="s">
        <v>255</v>
      </c>
      <c r="J38" s="2"/>
      <c r="K38" s="2"/>
      <c r="L38" s="2"/>
      <c r="M38" s="2"/>
      <c r="N38" s="2"/>
      <c r="O38" s="2"/>
      <c r="P38" s="2"/>
      <c r="Q38" s="2"/>
      <c r="R38" s="2"/>
      <c r="S38" s="2"/>
      <c r="T38" s="2"/>
      <c r="U38" s="2"/>
      <c r="V38" s="2"/>
      <c r="W38" s="2"/>
      <c r="X38" s="2"/>
      <c r="Y38" s="2"/>
      <c r="Z38" s="2"/>
    </row>
    <row r="39" ht="32.25" customHeight="1">
      <c r="A39" s="2"/>
      <c r="B39" s="129">
        <v>28.0</v>
      </c>
      <c r="C39" s="128" t="s">
        <v>289</v>
      </c>
      <c r="D39" s="11"/>
      <c r="E39" s="2"/>
      <c r="F39" s="130" t="s">
        <v>169</v>
      </c>
      <c r="G39" s="130"/>
      <c r="H39" s="125"/>
      <c r="I39" s="131" t="s">
        <v>255</v>
      </c>
      <c r="J39" s="2"/>
      <c r="K39" s="2"/>
      <c r="L39" s="2"/>
      <c r="M39" s="2"/>
      <c r="N39" s="2"/>
      <c r="O39" s="2"/>
      <c r="P39" s="2"/>
      <c r="Q39" s="2"/>
      <c r="R39" s="2"/>
      <c r="S39" s="2"/>
      <c r="T39" s="2"/>
      <c r="U39" s="2"/>
      <c r="V39" s="2"/>
      <c r="W39" s="2"/>
      <c r="X39" s="2"/>
      <c r="Y39" s="2"/>
      <c r="Z39" s="2"/>
    </row>
    <row r="40" ht="32.25" customHeight="1">
      <c r="A40" s="2"/>
      <c r="B40" s="129">
        <v>29.0</v>
      </c>
      <c r="C40" s="128" t="s">
        <v>290</v>
      </c>
      <c r="D40" s="11"/>
      <c r="E40" s="2"/>
      <c r="F40" s="110" t="s">
        <v>169</v>
      </c>
      <c r="G40" s="110"/>
      <c r="H40" s="125"/>
      <c r="I40" s="110" t="s">
        <v>255</v>
      </c>
      <c r="J40" s="2"/>
      <c r="K40" s="2"/>
      <c r="L40" s="2"/>
      <c r="M40" s="2"/>
      <c r="N40" s="2"/>
      <c r="O40" s="2"/>
      <c r="P40" s="2"/>
      <c r="Q40" s="2"/>
      <c r="R40" s="2"/>
      <c r="S40" s="2"/>
      <c r="T40" s="2"/>
      <c r="U40" s="2"/>
      <c r="V40" s="2"/>
      <c r="W40" s="2"/>
      <c r="X40" s="2"/>
      <c r="Y40" s="2"/>
      <c r="Z40" s="2"/>
    </row>
    <row r="41" ht="32.25" customHeight="1">
      <c r="A41" s="2"/>
      <c r="B41" s="129">
        <v>30.0</v>
      </c>
      <c r="C41" s="128" t="s">
        <v>291</v>
      </c>
      <c r="D41" s="11"/>
      <c r="E41" s="2"/>
      <c r="F41" s="110" t="s">
        <v>169</v>
      </c>
      <c r="G41" s="103"/>
      <c r="H41" s="125"/>
      <c r="I41" s="110" t="s">
        <v>267</v>
      </c>
      <c r="J41" s="2"/>
      <c r="K41" s="2"/>
      <c r="L41" s="2"/>
      <c r="M41" s="2"/>
      <c r="N41" s="2"/>
      <c r="O41" s="2"/>
      <c r="P41" s="2"/>
      <c r="Q41" s="2"/>
      <c r="R41" s="2"/>
      <c r="S41" s="2"/>
      <c r="T41" s="2"/>
      <c r="U41" s="2"/>
      <c r="V41" s="2"/>
      <c r="W41" s="2"/>
      <c r="X41" s="2"/>
      <c r="Y41" s="2"/>
      <c r="Z41" s="2"/>
    </row>
    <row r="42" ht="32.25" customHeight="1">
      <c r="A42" s="2"/>
      <c r="B42" s="129">
        <v>31.0</v>
      </c>
      <c r="C42" s="128" t="s">
        <v>292</v>
      </c>
      <c r="D42" s="11"/>
      <c r="E42" s="2"/>
      <c r="F42" s="124" t="s">
        <v>169</v>
      </c>
      <c r="G42" s="124"/>
      <c r="H42" s="125"/>
      <c r="I42" s="126" t="s">
        <v>293</v>
      </c>
      <c r="J42" s="2"/>
      <c r="K42" s="2"/>
      <c r="L42" s="2"/>
      <c r="M42" s="2"/>
      <c r="N42" s="2"/>
      <c r="O42" s="2"/>
      <c r="P42" s="2"/>
      <c r="Q42" s="2"/>
      <c r="R42" s="2"/>
      <c r="S42" s="2"/>
      <c r="T42" s="2"/>
      <c r="U42" s="2"/>
      <c r="V42" s="2"/>
      <c r="W42" s="2"/>
      <c r="X42" s="2"/>
      <c r="Y42" s="2"/>
      <c r="Z42" s="2"/>
    </row>
    <row r="43" ht="32.25" customHeight="1">
      <c r="A43" s="2"/>
      <c r="B43" s="129">
        <v>32.0</v>
      </c>
      <c r="C43" s="128" t="s">
        <v>294</v>
      </c>
      <c r="D43" s="11"/>
      <c r="E43" s="2"/>
      <c r="F43" s="124" t="s">
        <v>169</v>
      </c>
      <c r="G43" s="124"/>
      <c r="H43" s="125"/>
      <c r="I43" s="126" t="s">
        <v>255</v>
      </c>
      <c r="J43" s="2"/>
      <c r="K43" s="2"/>
      <c r="L43" s="2"/>
      <c r="M43" s="2"/>
      <c r="N43" s="2"/>
      <c r="O43" s="2"/>
      <c r="P43" s="2"/>
      <c r="Q43" s="2"/>
      <c r="R43" s="2"/>
      <c r="S43" s="2"/>
      <c r="T43" s="2"/>
      <c r="U43" s="2"/>
      <c r="V43" s="2"/>
      <c r="W43" s="2"/>
      <c r="X43" s="2"/>
      <c r="Y43" s="2"/>
      <c r="Z43" s="2"/>
    </row>
    <row r="44" ht="32.25" customHeight="1">
      <c r="A44" s="2"/>
      <c r="B44" s="129">
        <v>33.0</v>
      </c>
      <c r="C44" s="128" t="s">
        <v>295</v>
      </c>
      <c r="D44" s="11"/>
      <c r="E44" s="2"/>
      <c r="F44" s="124"/>
      <c r="G44" s="124"/>
      <c r="H44" s="125" t="s">
        <v>141</v>
      </c>
      <c r="I44" s="126"/>
      <c r="J44" s="2"/>
      <c r="K44" s="2"/>
      <c r="L44" s="2"/>
      <c r="M44" s="2"/>
      <c r="N44" s="2"/>
      <c r="O44" s="2"/>
      <c r="P44" s="2"/>
      <c r="Q44" s="2"/>
      <c r="R44" s="2"/>
      <c r="S44" s="2"/>
      <c r="T44" s="2"/>
      <c r="U44" s="2"/>
      <c r="V44" s="2"/>
      <c r="W44" s="2"/>
      <c r="X44" s="2"/>
      <c r="Y44" s="2"/>
      <c r="Z44" s="2"/>
    </row>
    <row r="45" ht="32.25" customHeight="1">
      <c r="A45" s="2"/>
      <c r="B45" s="129">
        <v>34.0</v>
      </c>
      <c r="C45" s="128" t="s">
        <v>296</v>
      </c>
      <c r="D45" s="11"/>
      <c r="E45" s="134" t="s">
        <v>297</v>
      </c>
      <c r="F45" s="135"/>
      <c r="G45" s="135"/>
      <c r="H45" s="136" t="s">
        <v>141</v>
      </c>
      <c r="I45" s="137"/>
      <c r="J45" s="2"/>
      <c r="K45" s="2"/>
      <c r="L45" s="2"/>
      <c r="M45" s="2"/>
      <c r="N45" s="2"/>
      <c r="O45" s="2"/>
      <c r="P45" s="2"/>
      <c r="Q45" s="2"/>
      <c r="R45" s="2"/>
      <c r="S45" s="2"/>
      <c r="T45" s="2"/>
      <c r="U45" s="2"/>
      <c r="V45" s="2"/>
      <c r="W45" s="2"/>
      <c r="X45" s="2"/>
      <c r="Y45" s="2"/>
      <c r="Z45" s="2"/>
    </row>
    <row r="46" ht="32.25" customHeight="1">
      <c r="A46" s="2"/>
      <c r="B46" s="138">
        <v>35.0</v>
      </c>
      <c r="C46" s="123" t="s">
        <v>298</v>
      </c>
      <c r="D46" s="11"/>
      <c r="E46" s="134" t="s">
        <v>297</v>
      </c>
      <c r="F46" s="139" t="s">
        <v>141</v>
      </c>
      <c r="G46" s="135"/>
      <c r="H46" s="136"/>
      <c r="I46" s="137"/>
      <c r="J46" s="2"/>
      <c r="K46" s="2"/>
      <c r="L46" s="2"/>
      <c r="M46" s="2"/>
      <c r="N46" s="2"/>
      <c r="O46" s="2"/>
      <c r="P46" s="2"/>
      <c r="Q46" s="2"/>
      <c r="R46" s="2"/>
      <c r="S46" s="2"/>
      <c r="T46" s="2"/>
      <c r="U46" s="2"/>
      <c r="V46" s="2"/>
      <c r="W46" s="2"/>
      <c r="X46" s="2"/>
      <c r="Y46" s="2"/>
      <c r="Z46" s="2"/>
    </row>
    <row r="47" ht="32.25" customHeight="1">
      <c r="A47" s="2"/>
      <c r="B47" s="140">
        <v>36.0</v>
      </c>
      <c r="C47" s="123" t="s">
        <v>299</v>
      </c>
      <c r="D47" s="11"/>
      <c r="E47" s="134" t="s">
        <v>300</v>
      </c>
      <c r="F47" s="139" t="s">
        <v>141</v>
      </c>
      <c r="G47" s="135"/>
      <c r="H47" s="136"/>
      <c r="I47" s="137"/>
      <c r="J47" s="2"/>
      <c r="K47" s="2"/>
      <c r="L47" s="2"/>
      <c r="M47" s="2"/>
      <c r="N47" s="2"/>
      <c r="O47" s="2"/>
      <c r="P47" s="2"/>
      <c r="Q47" s="2"/>
      <c r="R47" s="2"/>
      <c r="S47" s="2"/>
      <c r="T47" s="2"/>
      <c r="U47" s="2"/>
      <c r="V47" s="2"/>
      <c r="W47" s="2"/>
      <c r="X47" s="2"/>
      <c r="Y47" s="2"/>
      <c r="Z47" s="2"/>
    </row>
    <row r="48" ht="32.25" customHeight="1">
      <c r="A48" s="2"/>
      <c r="B48" s="141">
        <v>37.0</v>
      </c>
      <c r="C48" s="123" t="s">
        <v>301</v>
      </c>
      <c r="D48" s="11"/>
      <c r="E48" s="134" t="s">
        <v>302</v>
      </c>
      <c r="F48" s="139" t="s">
        <v>141</v>
      </c>
      <c r="G48" s="135"/>
      <c r="H48" s="136"/>
      <c r="I48" s="137"/>
      <c r="J48" s="2"/>
      <c r="K48" s="2"/>
      <c r="L48" s="2"/>
      <c r="M48" s="2"/>
      <c r="N48" s="2"/>
      <c r="O48" s="2"/>
      <c r="P48" s="2"/>
      <c r="Q48" s="2"/>
      <c r="R48" s="2"/>
      <c r="S48" s="2"/>
      <c r="T48" s="2"/>
      <c r="U48" s="2"/>
      <c r="V48" s="2"/>
      <c r="W48" s="2"/>
      <c r="X48" s="2"/>
      <c r="Y48" s="2"/>
      <c r="Z48" s="2"/>
    </row>
    <row r="49" ht="32.25" customHeight="1">
      <c r="A49" s="2"/>
      <c r="B49" s="129">
        <v>38.0</v>
      </c>
      <c r="C49" s="123" t="s">
        <v>303</v>
      </c>
      <c r="D49" s="11"/>
      <c r="E49" s="134" t="s">
        <v>304</v>
      </c>
      <c r="F49" s="139" t="s">
        <v>141</v>
      </c>
      <c r="G49" s="135"/>
      <c r="H49" s="136"/>
      <c r="I49" s="137"/>
      <c r="J49" s="2"/>
      <c r="K49" s="2"/>
      <c r="L49" s="2"/>
      <c r="M49" s="2"/>
      <c r="N49" s="2"/>
      <c r="O49" s="2"/>
      <c r="P49" s="2"/>
      <c r="Q49" s="2"/>
      <c r="R49" s="2"/>
      <c r="S49" s="2"/>
      <c r="T49" s="2"/>
      <c r="U49" s="2"/>
      <c r="V49" s="2"/>
      <c r="W49" s="2"/>
      <c r="X49" s="2"/>
      <c r="Y49" s="2"/>
      <c r="Z49" s="2"/>
    </row>
    <row r="50" ht="32.25" customHeight="1">
      <c r="A50" s="2"/>
      <c r="B50" s="129">
        <v>39.0</v>
      </c>
      <c r="C50" s="123" t="s">
        <v>305</v>
      </c>
      <c r="D50" s="11"/>
      <c r="E50" s="134" t="s">
        <v>306</v>
      </c>
      <c r="F50" s="139" t="s">
        <v>141</v>
      </c>
      <c r="G50" s="135"/>
      <c r="H50" s="136"/>
      <c r="I50" s="137"/>
      <c r="J50" s="2"/>
      <c r="K50" s="2"/>
      <c r="L50" s="2"/>
      <c r="M50" s="2"/>
      <c r="N50" s="2"/>
      <c r="O50" s="2"/>
      <c r="P50" s="2"/>
      <c r="Q50" s="2"/>
      <c r="R50" s="2"/>
      <c r="S50" s="2"/>
      <c r="T50" s="2"/>
      <c r="U50" s="2"/>
      <c r="V50" s="2"/>
      <c r="W50" s="2"/>
      <c r="X50" s="2"/>
      <c r="Y50" s="2"/>
      <c r="Z50" s="2"/>
    </row>
    <row r="51" ht="32.25" customHeight="1">
      <c r="A51" s="2"/>
      <c r="B51" s="140">
        <v>40.0</v>
      </c>
      <c r="C51" s="123" t="s">
        <v>307</v>
      </c>
      <c r="D51" s="11"/>
      <c r="E51" s="134" t="s">
        <v>308</v>
      </c>
      <c r="F51" s="139" t="s">
        <v>141</v>
      </c>
      <c r="G51" s="135"/>
      <c r="H51" s="136"/>
      <c r="I51" s="137"/>
      <c r="J51" s="2"/>
      <c r="K51" s="2"/>
      <c r="L51" s="2"/>
      <c r="M51" s="2"/>
      <c r="N51" s="2"/>
      <c r="O51" s="2"/>
      <c r="P51" s="2"/>
      <c r="Q51" s="2"/>
      <c r="R51" s="2"/>
      <c r="S51" s="2"/>
      <c r="T51" s="2"/>
      <c r="U51" s="2"/>
      <c r="V51" s="2"/>
      <c r="W51" s="2"/>
      <c r="X51" s="2"/>
      <c r="Y51" s="2"/>
      <c r="Z51" s="2"/>
    </row>
    <row r="52" ht="32.25" customHeight="1">
      <c r="A52" s="2"/>
      <c r="B52" s="141">
        <v>41.0</v>
      </c>
      <c r="C52" s="123" t="s">
        <v>309</v>
      </c>
      <c r="D52" s="11"/>
      <c r="E52" s="2"/>
      <c r="F52" s="139" t="s">
        <v>141</v>
      </c>
      <c r="G52" s="135"/>
      <c r="H52" s="136"/>
      <c r="I52" s="137"/>
      <c r="J52" s="2"/>
      <c r="K52" s="2"/>
      <c r="L52" s="2"/>
      <c r="M52" s="2"/>
      <c r="N52" s="2"/>
      <c r="O52" s="2"/>
      <c r="P52" s="2"/>
      <c r="Q52" s="2"/>
      <c r="R52" s="2"/>
      <c r="S52" s="2"/>
      <c r="T52" s="2"/>
      <c r="U52" s="2"/>
      <c r="V52" s="2"/>
      <c r="W52" s="2"/>
      <c r="X52" s="2"/>
      <c r="Y52" s="2"/>
      <c r="Z52" s="2"/>
    </row>
    <row r="53" ht="32.25" customHeight="1">
      <c r="A53" s="2"/>
      <c r="B53" s="141">
        <v>42.0</v>
      </c>
      <c r="C53" s="123" t="s">
        <v>310</v>
      </c>
      <c r="D53" s="11"/>
      <c r="E53" s="2"/>
      <c r="F53" s="139" t="s">
        <v>141</v>
      </c>
      <c r="G53" s="135"/>
      <c r="H53" s="136"/>
      <c r="I53" s="137"/>
      <c r="J53" s="2"/>
      <c r="K53" s="2"/>
      <c r="L53" s="2"/>
      <c r="M53" s="2"/>
      <c r="N53" s="2"/>
      <c r="O53" s="2"/>
      <c r="P53" s="2"/>
      <c r="Q53" s="2"/>
      <c r="R53" s="2"/>
      <c r="S53" s="2"/>
      <c r="T53" s="2"/>
      <c r="U53" s="2"/>
      <c r="V53" s="2"/>
      <c r="W53" s="2"/>
      <c r="X53" s="2"/>
      <c r="Y53" s="2"/>
      <c r="Z53" s="2"/>
    </row>
    <row r="54" ht="32.25" customHeight="1">
      <c r="A54" s="2"/>
      <c r="B54" s="141">
        <v>43.0</v>
      </c>
      <c r="C54" s="123" t="s">
        <v>311</v>
      </c>
      <c r="D54" s="11"/>
      <c r="E54" s="2"/>
      <c r="F54" s="139" t="s">
        <v>141</v>
      </c>
      <c r="G54" s="135"/>
      <c r="H54" s="136"/>
      <c r="I54" s="137"/>
      <c r="J54" s="2"/>
      <c r="K54" s="2"/>
      <c r="L54" s="2"/>
      <c r="M54" s="2"/>
      <c r="N54" s="2"/>
      <c r="O54" s="2"/>
      <c r="P54" s="2"/>
      <c r="Q54" s="2"/>
      <c r="R54" s="2"/>
      <c r="S54" s="2"/>
      <c r="T54" s="2"/>
      <c r="U54" s="2"/>
      <c r="V54" s="2"/>
      <c r="W54" s="2"/>
      <c r="X54" s="2"/>
      <c r="Y54" s="2"/>
      <c r="Z54" s="2"/>
    </row>
    <row r="55" ht="32.25" customHeight="1">
      <c r="A55" s="2"/>
      <c r="B55" s="140">
        <v>44.0</v>
      </c>
      <c r="C55" s="123" t="s">
        <v>312</v>
      </c>
      <c r="D55" s="11"/>
      <c r="E55" s="2"/>
      <c r="F55" s="139" t="s">
        <v>141</v>
      </c>
      <c r="G55" s="135"/>
      <c r="H55" s="136"/>
      <c r="I55" s="137"/>
      <c r="J55" s="2"/>
      <c r="K55" s="2"/>
      <c r="L55" s="2"/>
      <c r="M55" s="2"/>
      <c r="N55" s="2"/>
      <c r="O55" s="2"/>
      <c r="P55" s="2"/>
      <c r="Q55" s="2"/>
      <c r="R55" s="2"/>
      <c r="S55" s="2"/>
      <c r="T55" s="2"/>
      <c r="U55" s="2"/>
      <c r="V55" s="2"/>
      <c r="W55" s="2"/>
      <c r="X55" s="2"/>
      <c r="Y55" s="2"/>
      <c r="Z55" s="2"/>
    </row>
    <row r="56" ht="32.25" customHeight="1">
      <c r="A56" s="2"/>
      <c r="B56" s="140">
        <v>45.0</v>
      </c>
      <c r="C56" s="123" t="s">
        <v>313</v>
      </c>
      <c r="D56" s="11"/>
      <c r="E56" s="2"/>
      <c r="F56" s="139" t="s">
        <v>141</v>
      </c>
      <c r="G56" s="135"/>
      <c r="H56" s="136"/>
      <c r="I56" s="137"/>
      <c r="J56" s="2"/>
      <c r="K56" s="2"/>
      <c r="L56" s="2"/>
      <c r="M56" s="2"/>
      <c r="N56" s="2"/>
      <c r="O56" s="2"/>
      <c r="P56" s="2"/>
      <c r="Q56" s="2"/>
      <c r="R56" s="2"/>
      <c r="S56" s="2"/>
      <c r="T56" s="2"/>
      <c r="U56" s="2"/>
      <c r="V56" s="2"/>
      <c r="W56" s="2"/>
      <c r="X56" s="2"/>
      <c r="Y56" s="2"/>
      <c r="Z56" s="2"/>
    </row>
    <row r="57" ht="32.25" customHeight="1">
      <c r="A57" s="2"/>
      <c r="B57" s="141">
        <v>46.0</v>
      </c>
      <c r="C57" s="123" t="s">
        <v>314</v>
      </c>
      <c r="D57" s="11"/>
      <c r="E57" s="2"/>
      <c r="F57" s="139" t="s">
        <v>141</v>
      </c>
      <c r="G57" s="135"/>
      <c r="H57" s="136"/>
      <c r="I57" s="137"/>
      <c r="J57" s="2"/>
      <c r="K57" s="2"/>
      <c r="L57" s="2"/>
      <c r="M57" s="2"/>
      <c r="N57" s="2"/>
      <c r="O57" s="2"/>
      <c r="P57" s="2"/>
      <c r="Q57" s="2"/>
      <c r="R57" s="2"/>
      <c r="S57" s="2"/>
      <c r="T57" s="2"/>
      <c r="U57" s="2"/>
      <c r="V57" s="2"/>
      <c r="W57" s="2"/>
      <c r="X57" s="2"/>
      <c r="Y57" s="2"/>
      <c r="Z57" s="2"/>
    </row>
    <row r="58" ht="32.25" customHeight="1">
      <c r="A58" s="2"/>
      <c r="B58" s="141">
        <v>47.0</v>
      </c>
      <c r="C58" s="123" t="s">
        <v>315</v>
      </c>
      <c r="D58" s="11"/>
      <c r="E58" s="2"/>
      <c r="F58" s="139" t="s">
        <v>141</v>
      </c>
      <c r="G58" s="135"/>
      <c r="H58" s="136"/>
      <c r="I58" s="137"/>
      <c r="J58" s="2"/>
      <c r="K58" s="2"/>
      <c r="L58" s="2"/>
      <c r="M58" s="2"/>
      <c r="N58" s="2"/>
      <c r="O58" s="2"/>
      <c r="P58" s="2"/>
      <c r="Q58" s="2"/>
      <c r="R58" s="2"/>
      <c r="S58" s="2"/>
      <c r="T58" s="2"/>
      <c r="U58" s="2"/>
      <c r="V58" s="2"/>
      <c r="W58" s="2"/>
      <c r="X58" s="2"/>
      <c r="Y58" s="2"/>
      <c r="Z58" s="2"/>
    </row>
    <row r="59" ht="32.25" customHeight="1">
      <c r="A59" s="2"/>
      <c r="B59" s="141">
        <v>48.0</v>
      </c>
      <c r="C59" s="123" t="s">
        <v>316</v>
      </c>
      <c r="D59" s="11"/>
      <c r="E59" s="2"/>
      <c r="F59" s="139" t="s">
        <v>141</v>
      </c>
      <c r="G59" s="135"/>
      <c r="H59" s="136"/>
      <c r="I59" s="137"/>
      <c r="J59" s="2"/>
      <c r="K59" s="2"/>
      <c r="L59" s="2"/>
      <c r="M59" s="2"/>
      <c r="N59" s="2"/>
      <c r="O59" s="2"/>
      <c r="P59" s="2"/>
      <c r="Q59" s="2"/>
      <c r="R59" s="2"/>
      <c r="S59" s="2"/>
      <c r="T59" s="2"/>
      <c r="U59" s="2"/>
      <c r="V59" s="2"/>
      <c r="W59" s="2"/>
      <c r="X59" s="2"/>
      <c r="Y59" s="2"/>
      <c r="Z59" s="2"/>
    </row>
    <row r="60" ht="32.25" customHeight="1">
      <c r="A60" s="2"/>
      <c r="B60" s="140">
        <v>49.0</v>
      </c>
      <c r="C60" s="123" t="s">
        <v>317</v>
      </c>
      <c r="D60" s="11"/>
      <c r="E60" s="2"/>
      <c r="F60" s="139" t="s">
        <v>141</v>
      </c>
      <c r="G60" s="135"/>
      <c r="H60" s="136"/>
      <c r="I60" s="137"/>
      <c r="J60" s="2"/>
      <c r="K60" s="2"/>
      <c r="L60" s="2"/>
      <c r="M60" s="2"/>
      <c r="N60" s="2"/>
      <c r="O60" s="2"/>
      <c r="P60" s="2"/>
      <c r="Q60" s="2"/>
      <c r="R60" s="2"/>
      <c r="S60" s="2"/>
      <c r="T60" s="2"/>
      <c r="U60" s="2"/>
      <c r="V60" s="2"/>
      <c r="W60" s="2"/>
      <c r="X60" s="2"/>
      <c r="Y60" s="2"/>
      <c r="Z60" s="2"/>
    </row>
    <row r="61" ht="32.25" customHeight="1">
      <c r="A61" s="2"/>
      <c r="B61" s="141">
        <v>50.0</v>
      </c>
      <c r="C61" s="123" t="s">
        <v>318</v>
      </c>
      <c r="D61" s="11"/>
      <c r="E61" s="2"/>
      <c r="F61" s="139" t="s">
        <v>141</v>
      </c>
      <c r="G61" s="135"/>
      <c r="H61" s="136"/>
      <c r="I61" s="137"/>
      <c r="J61" s="2"/>
      <c r="K61" s="2"/>
      <c r="L61" s="2"/>
      <c r="M61" s="2"/>
      <c r="N61" s="2"/>
      <c r="O61" s="2"/>
      <c r="P61" s="2"/>
      <c r="Q61" s="2"/>
      <c r="R61" s="2"/>
      <c r="S61" s="2"/>
      <c r="T61" s="2"/>
      <c r="U61" s="2"/>
      <c r="V61" s="2"/>
      <c r="W61" s="2"/>
      <c r="X61" s="2"/>
      <c r="Y61" s="2"/>
      <c r="Z61" s="2"/>
    </row>
    <row r="62" ht="32.25" customHeight="1">
      <c r="A62" s="2"/>
      <c r="B62" s="141">
        <v>51.0</v>
      </c>
      <c r="C62" s="123" t="s">
        <v>319</v>
      </c>
      <c r="D62" s="11"/>
      <c r="E62" s="2"/>
      <c r="F62" s="139" t="s">
        <v>141</v>
      </c>
      <c r="G62" s="135"/>
      <c r="H62" s="136"/>
      <c r="I62" s="137"/>
      <c r="J62" s="2"/>
      <c r="K62" s="2"/>
      <c r="L62" s="2"/>
      <c r="M62" s="2"/>
      <c r="N62" s="2"/>
      <c r="O62" s="2"/>
      <c r="P62" s="2"/>
      <c r="Q62" s="2"/>
      <c r="R62" s="2"/>
      <c r="S62" s="2"/>
      <c r="T62" s="2"/>
      <c r="U62" s="2"/>
      <c r="V62" s="2"/>
      <c r="W62" s="2"/>
      <c r="X62" s="2"/>
      <c r="Y62" s="2"/>
      <c r="Z62" s="2"/>
    </row>
    <row r="63" ht="32.25" customHeight="1">
      <c r="A63" s="2"/>
      <c r="B63" s="141">
        <v>52.0</v>
      </c>
      <c r="C63" s="123" t="s">
        <v>320</v>
      </c>
      <c r="D63" s="11"/>
      <c r="E63" s="2"/>
      <c r="F63" s="139" t="s">
        <v>141</v>
      </c>
      <c r="G63" s="135"/>
      <c r="H63" s="136"/>
      <c r="I63" s="137"/>
      <c r="J63" s="2"/>
      <c r="K63" s="2"/>
      <c r="L63" s="2"/>
      <c r="M63" s="2"/>
      <c r="N63" s="2"/>
      <c r="O63" s="2"/>
      <c r="P63" s="2"/>
      <c r="Q63" s="2"/>
      <c r="R63" s="2"/>
      <c r="S63" s="2"/>
      <c r="T63" s="2"/>
      <c r="U63" s="2"/>
      <c r="V63" s="2"/>
      <c r="W63" s="2"/>
      <c r="X63" s="2"/>
      <c r="Y63" s="2"/>
      <c r="Z63" s="2"/>
    </row>
    <row r="64" ht="32.25" customHeight="1">
      <c r="A64" s="2"/>
      <c r="B64" s="140">
        <v>53.0</v>
      </c>
      <c r="C64" s="123" t="s">
        <v>321</v>
      </c>
      <c r="D64" s="11"/>
      <c r="E64" s="2"/>
      <c r="F64" s="139" t="s">
        <v>141</v>
      </c>
      <c r="G64" s="135"/>
      <c r="H64" s="136"/>
      <c r="I64" s="137"/>
      <c r="J64" s="2"/>
      <c r="K64" s="2"/>
      <c r="L64" s="2"/>
      <c r="M64" s="2"/>
      <c r="N64" s="2"/>
      <c r="O64" s="2"/>
      <c r="P64" s="2"/>
      <c r="Q64" s="2"/>
      <c r="R64" s="2"/>
      <c r="S64" s="2"/>
      <c r="T64" s="2"/>
      <c r="U64" s="2"/>
      <c r="V64" s="2"/>
      <c r="W64" s="2"/>
      <c r="X64" s="2"/>
      <c r="Y64" s="2"/>
      <c r="Z64" s="2"/>
    </row>
    <row r="65" ht="32.25" customHeight="1">
      <c r="A65" s="2"/>
      <c r="B65" s="140">
        <v>54.0</v>
      </c>
      <c r="C65" s="123" t="s">
        <v>322</v>
      </c>
      <c r="D65" s="11"/>
      <c r="E65" s="2"/>
      <c r="F65" s="139" t="s">
        <v>141</v>
      </c>
      <c r="G65" s="135"/>
      <c r="H65" s="136"/>
      <c r="I65" s="137"/>
      <c r="J65" s="2"/>
      <c r="K65" s="2"/>
      <c r="L65" s="2"/>
      <c r="M65" s="2"/>
      <c r="N65" s="2"/>
      <c r="O65" s="2"/>
      <c r="P65" s="2"/>
      <c r="Q65" s="2"/>
      <c r="R65" s="2"/>
      <c r="S65" s="2"/>
      <c r="T65" s="2"/>
      <c r="U65" s="2"/>
      <c r="V65" s="2"/>
      <c r="W65" s="2"/>
      <c r="X65" s="2"/>
      <c r="Y65" s="2"/>
      <c r="Z65" s="2"/>
    </row>
    <row r="66" ht="32.25" customHeight="1">
      <c r="A66" s="2"/>
      <c r="B66" s="141">
        <v>55.0</v>
      </c>
      <c r="C66" s="123" t="s">
        <v>323</v>
      </c>
      <c r="D66" s="11"/>
      <c r="E66" s="2"/>
      <c r="F66" s="139" t="s">
        <v>141</v>
      </c>
      <c r="G66" s="135"/>
      <c r="H66" s="136"/>
      <c r="I66" s="137"/>
      <c r="J66" s="2"/>
      <c r="K66" s="2"/>
      <c r="L66" s="2"/>
      <c r="M66" s="2"/>
      <c r="N66" s="2"/>
      <c r="O66" s="2"/>
      <c r="P66" s="2"/>
      <c r="Q66" s="2"/>
      <c r="R66" s="2"/>
      <c r="S66" s="2"/>
      <c r="T66" s="2"/>
      <c r="U66" s="2"/>
      <c r="V66" s="2"/>
      <c r="W66" s="2"/>
      <c r="X66" s="2"/>
      <c r="Y66" s="2"/>
      <c r="Z66" s="2"/>
    </row>
    <row r="67" ht="32.25" customHeight="1">
      <c r="A67" s="2"/>
      <c r="B67" s="141">
        <v>56.0</v>
      </c>
      <c r="C67" s="123" t="s">
        <v>324</v>
      </c>
      <c r="D67" s="11"/>
      <c r="E67" s="2"/>
      <c r="F67" s="139" t="s">
        <v>141</v>
      </c>
      <c r="G67" s="135"/>
      <c r="H67" s="136"/>
      <c r="I67" s="137"/>
      <c r="J67" s="2"/>
      <c r="K67" s="2"/>
      <c r="L67" s="2"/>
      <c r="M67" s="2"/>
      <c r="N67" s="2"/>
      <c r="O67" s="2"/>
      <c r="P67" s="2"/>
      <c r="Q67" s="2"/>
      <c r="R67" s="2"/>
      <c r="S67" s="2"/>
      <c r="T67" s="2"/>
      <c r="U67" s="2"/>
      <c r="V67" s="2"/>
      <c r="W67" s="2"/>
      <c r="X67" s="2"/>
      <c r="Y67" s="2"/>
      <c r="Z67" s="2"/>
    </row>
    <row r="68" ht="32.25" customHeight="1">
      <c r="A68" s="2"/>
      <c r="B68" s="141">
        <v>57.0</v>
      </c>
      <c r="C68" s="123" t="s">
        <v>325</v>
      </c>
      <c r="D68" s="11"/>
      <c r="E68" s="2"/>
      <c r="F68" s="139" t="s">
        <v>141</v>
      </c>
      <c r="G68" s="135"/>
      <c r="H68" s="136"/>
      <c r="I68" s="137"/>
      <c r="J68" s="2"/>
      <c r="K68" s="2"/>
      <c r="L68" s="2"/>
      <c r="M68" s="2"/>
      <c r="N68" s="2"/>
      <c r="O68" s="2"/>
      <c r="P68" s="2"/>
      <c r="Q68" s="2"/>
      <c r="R68" s="2"/>
      <c r="S68" s="2"/>
      <c r="T68" s="2"/>
      <c r="U68" s="2"/>
      <c r="V68" s="2"/>
      <c r="W68" s="2"/>
      <c r="X68" s="2"/>
      <c r="Y68" s="2"/>
      <c r="Z68" s="2"/>
    </row>
    <row r="69" ht="32.25" customHeight="1">
      <c r="A69" s="2"/>
      <c r="B69" s="140">
        <v>58.0</v>
      </c>
      <c r="C69" s="123" t="s">
        <v>326</v>
      </c>
      <c r="D69" s="11"/>
      <c r="E69" s="2"/>
      <c r="F69" s="139" t="s">
        <v>141</v>
      </c>
      <c r="G69" s="135"/>
      <c r="H69" s="136"/>
      <c r="I69" s="137"/>
      <c r="J69" s="2"/>
      <c r="K69" s="2"/>
      <c r="L69" s="2"/>
      <c r="M69" s="2"/>
      <c r="N69" s="2"/>
      <c r="O69" s="2"/>
      <c r="P69" s="2"/>
      <c r="Q69" s="2"/>
      <c r="R69" s="2"/>
      <c r="S69" s="2"/>
      <c r="T69" s="2"/>
      <c r="U69" s="2"/>
      <c r="V69" s="2"/>
      <c r="W69" s="2"/>
      <c r="X69" s="2"/>
      <c r="Y69" s="2"/>
      <c r="Z69" s="2"/>
    </row>
    <row r="70" ht="32.25" customHeight="1">
      <c r="A70" s="2"/>
      <c r="B70" s="141">
        <v>59.0</v>
      </c>
      <c r="C70" s="123" t="s">
        <v>327</v>
      </c>
      <c r="D70" s="11"/>
      <c r="E70" s="2"/>
      <c r="F70" s="139" t="s">
        <v>141</v>
      </c>
      <c r="G70" s="135"/>
      <c r="H70" s="136"/>
      <c r="I70" s="137"/>
      <c r="J70" s="2"/>
      <c r="K70" s="2"/>
      <c r="L70" s="2"/>
      <c r="M70" s="2"/>
      <c r="N70" s="2"/>
      <c r="O70" s="2"/>
      <c r="P70" s="2"/>
      <c r="Q70" s="2"/>
      <c r="R70" s="2"/>
      <c r="S70" s="2"/>
      <c r="T70" s="2"/>
      <c r="U70" s="2"/>
      <c r="V70" s="2"/>
      <c r="W70" s="2"/>
      <c r="X70" s="2"/>
      <c r="Y70" s="2"/>
      <c r="Z70" s="2"/>
    </row>
    <row r="71" ht="32.25" customHeight="1">
      <c r="A71" s="2"/>
      <c r="B71" s="141">
        <v>60.0</v>
      </c>
      <c r="C71" s="123" t="s">
        <v>328</v>
      </c>
      <c r="D71" s="11"/>
      <c r="E71" s="2"/>
      <c r="F71" s="139" t="s">
        <v>141</v>
      </c>
      <c r="G71" s="135"/>
      <c r="H71" s="136"/>
      <c r="I71" s="137"/>
      <c r="J71" s="2"/>
      <c r="K71" s="2"/>
      <c r="L71" s="2"/>
      <c r="M71" s="2"/>
      <c r="N71" s="2"/>
      <c r="O71" s="2"/>
      <c r="P71" s="2"/>
      <c r="Q71" s="2"/>
      <c r="R71" s="2"/>
      <c r="S71" s="2"/>
      <c r="T71" s="2"/>
      <c r="U71" s="2"/>
      <c r="V71" s="2"/>
      <c r="W71" s="2"/>
      <c r="X71" s="2"/>
      <c r="Y71" s="2"/>
      <c r="Z71" s="2"/>
    </row>
    <row r="72" ht="32.25" customHeight="1">
      <c r="A72" s="2"/>
      <c r="B72" s="141">
        <v>61.0</v>
      </c>
      <c r="C72" s="123" t="s">
        <v>329</v>
      </c>
      <c r="D72" s="11"/>
      <c r="E72" s="2"/>
      <c r="F72" s="139" t="s">
        <v>141</v>
      </c>
      <c r="G72" s="135"/>
      <c r="H72" s="136"/>
      <c r="I72" s="137"/>
      <c r="J72" s="2"/>
      <c r="K72" s="2"/>
      <c r="L72" s="2"/>
      <c r="M72" s="2"/>
      <c r="N72" s="2"/>
      <c r="O72" s="2"/>
      <c r="P72" s="2"/>
      <c r="Q72" s="2"/>
      <c r="R72" s="2"/>
      <c r="S72" s="2"/>
      <c r="T72" s="2"/>
      <c r="U72" s="2"/>
      <c r="V72" s="2"/>
      <c r="W72" s="2"/>
      <c r="X72" s="2"/>
      <c r="Y72" s="2"/>
      <c r="Z72" s="2"/>
    </row>
    <row r="73" ht="32.25" customHeight="1">
      <c r="A73" s="2"/>
      <c r="B73" s="140">
        <v>62.0</v>
      </c>
      <c r="C73" s="123" t="s">
        <v>330</v>
      </c>
      <c r="D73" s="11"/>
      <c r="E73" s="2"/>
      <c r="F73" s="139" t="s">
        <v>141</v>
      </c>
      <c r="G73" s="135"/>
      <c r="H73" s="136"/>
      <c r="I73" s="137"/>
      <c r="J73" s="2"/>
      <c r="K73" s="2"/>
      <c r="L73" s="2"/>
      <c r="M73" s="2"/>
      <c r="N73" s="2"/>
      <c r="O73" s="2"/>
      <c r="P73" s="2"/>
      <c r="Q73" s="2"/>
      <c r="R73" s="2"/>
      <c r="S73" s="2"/>
      <c r="T73" s="2"/>
      <c r="U73" s="2"/>
      <c r="V73" s="2"/>
      <c r="W73" s="2"/>
      <c r="X73" s="2"/>
      <c r="Y73" s="2"/>
      <c r="Z73" s="2"/>
    </row>
    <row r="74" ht="32.25" customHeight="1">
      <c r="A74" s="2"/>
      <c r="B74" s="140">
        <v>63.0</v>
      </c>
      <c r="C74" s="123" t="s">
        <v>331</v>
      </c>
      <c r="D74" s="11"/>
      <c r="E74" s="2"/>
      <c r="F74" s="139" t="s">
        <v>141</v>
      </c>
      <c r="G74" s="135"/>
      <c r="H74" s="136"/>
      <c r="I74" s="137"/>
      <c r="J74" s="2"/>
      <c r="K74" s="2"/>
      <c r="L74" s="2"/>
      <c r="M74" s="2"/>
      <c r="N74" s="2"/>
      <c r="O74" s="2"/>
      <c r="P74" s="2"/>
      <c r="Q74" s="2"/>
      <c r="R74" s="2"/>
      <c r="S74" s="2"/>
      <c r="T74" s="2"/>
      <c r="U74" s="2"/>
      <c r="V74" s="2"/>
      <c r="W74" s="2"/>
      <c r="X74" s="2"/>
      <c r="Y74" s="2"/>
      <c r="Z74" s="2"/>
    </row>
    <row r="75" ht="32.25" customHeight="1">
      <c r="A75" s="2"/>
      <c r="B75" s="141">
        <v>64.0</v>
      </c>
      <c r="C75" s="123" t="s">
        <v>332</v>
      </c>
      <c r="D75" s="11"/>
      <c r="E75" s="2"/>
      <c r="F75" s="139" t="s">
        <v>141</v>
      </c>
      <c r="G75" s="135"/>
      <c r="H75" s="136"/>
      <c r="I75" s="137"/>
      <c r="J75" s="2"/>
      <c r="K75" s="2"/>
      <c r="L75" s="2"/>
      <c r="M75" s="2"/>
      <c r="N75" s="2"/>
      <c r="O75" s="2"/>
      <c r="P75" s="2"/>
      <c r="Q75" s="2"/>
      <c r="R75" s="2"/>
      <c r="S75" s="2"/>
      <c r="T75" s="2"/>
      <c r="U75" s="2"/>
      <c r="V75" s="2"/>
      <c r="W75" s="2"/>
      <c r="X75" s="2"/>
      <c r="Y75" s="2"/>
      <c r="Z75" s="2"/>
    </row>
    <row r="76" ht="32.25" customHeight="1">
      <c r="A76" s="2"/>
      <c r="B76" s="141">
        <v>65.0</v>
      </c>
      <c r="C76" s="123" t="s">
        <v>333</v>
      </c>
      <c r="D76" s="11"/>
      <c r="E76" s="2"/>
      <c r="F76" s="139" t="s">
        <v>141</v>
      </c>
      <c r="G76" s="135"/>
      <c r="H76" s="136"/>
      <c r="I76" s="137"/>
      <c r="J76" s="2"/>
      <c r="K76" s="2"/>
      <c r="L76" s="2"/>
      <c r="M76" s="2"/>
      <c r="N76" s="2"/>
      <c r="O76" s="2"/>
      <c r="P76" s="2"/>
      <c r="Q76" s="2"/>
      <c r="R76" s="2"/>
      <c r="S76" s="2"/>
      <c r="T76" s="2"/>
      <c r="U76" s="2"/>
      <c r="V76" s="2"/>
      <c r="W76" s="2"/>
      <c r="X76" s="2"/>
      <c r="Y76" s="2"/>
      <c r="Z76" s="2"/>
    </row>
    <row r="77" ht="32.25" customHeight="1">
      <c r="A77" s="2"/>
      <c r="B77" s="141">
        <v>66.0</v>
      </c>
      <c r="C77" s="123" t="s">
        <v>334</v>
      </c>
      <c r="D77" s="11"/>
      <c r="E77" s="2"/>
      <c r="F77" s="139" t="s">
        <v>141</v>
      </c>
      <c r="G77" s="135"/>
      <c r="H77" s="136"/>
      <c r="I77" s="137"/>
      <c r="J77" s="2"/>
      <c r="K77" s="2"/>
      <c r="L77" s="2"/>
      <c r="M77" s="2"/>
      <c r="N77" s="2"/>
      <c r="O77" s="2"/>
      <c r="P77" s="2"/>
      <c r="Q77" s="2"/>
      <c r="R77" s="2"/>
      <c r="S77" s="2"/>
      <c r="T77" s="2"/>
      <c r="U77" s="2"/>
      <c r="V77" s="2"/>
      <c r="W77" s="2"/>
      <c r="X77" s="2"/>
      <c r="Y77" s="2"/>
      <c r="Z77" s="2"/>
    </row>
    <row r="78" ht="32.25" customHeight="1">
      <c r="A78" s="2"/>
      <c r="B78" s="140">
        <v>67.0</v>
      </c>
      <c r="C78" s="123" t="s">
        <v>335</v>
      </c>
      <c r="D78" s="11"/>
      <c r="E78" s="2"/>
      <c r="F78" s="139" t="s">
        <v>141</v>
      </c>
      <c r="G78" s="135"/>
      <c r="H78" s="136"/>
      <c r="I78" s="137"/>
      <c r="J78" s="2"/>
      <c r="K78" s="2"/>
      <c r="L78" s="2"/>
      <c r="M78" s="2"/>
      <c r="N78" s="2"/>
      <c r="O78" s="2"/>
      <c r="P78" s="2"/>
      <c r="Q78" s="2"/>
      <c r="R78" s="2"/>
      <c r="S78" s="2"/>
      <c r="T78" s="2"/>
      <c r="U78" s="2"/>
      <c r="V78" s="2"/>
      <c r="W78" s="2"/>
      <c r="X78" s="2"/>
      <c r="Y78" s="2"/>
      <c r="Z78" s="2"/>
    </row>
    <row r="79" ht="32.25" customHeight="1">
      <c r="A79" s="2"/>
      <c r="B79" s="141">
        <v>68.0</v>
      </c>
      <c r="C79" s="123" t="s">
        <v>336</v>
      </c>
      <c r="D79" s="11"/>
      <c r="E79" s="2"/>
      <c r="F79" s="139" t="s">
        <v>141</v>
      </c>
      <c r="G79" s="135"/>
      <c r="H79" s="136"/>
      <c r="I79" s="137"/>
      <c r="J79" s="2"/>
      <c r="K79" s="2"/>
      <c r="L79" s="2"/>
      <c r="M79" s="2"/>
      <c r="N79" s="2"/>
      <c r="O79" s="2"/>
      <c r="P79" s="2"/>
      <c r="Q79" s="2"/>
      <c r="R79" s="2"/>
      <c r="S79" s="2"/>
      <c r="T79" s="2"/>
      <c r="U79" s="2"/>
      <c r="V79" s="2"/>
      <c r="W79" s="2"/>
      <c r="X79" s="2"/>
      <c r="Y79" s="2"/>
      <c r="Z79" s="2"/>
    </row>
    <row r="80" ht="32.25" customHeight="1">
      <c r="A80" s="2"/>
      <c r="B80" s="141">
        <v>69.0</v>
      </c>
      <c r="C80" s="123" t="s">
        <v>337</v>
      </c>
      <c r="D80" s="11"/>
      <c r="E80" s="2"/>
      <c r="F80" s="139" t="s">
        <v>141</v>
      </c>
      <c r="G80" s="135"/>
      <c r="H80" s="136"/>
      <c r="I80" s="137"/>
      <c r="J80" s="2"/>
      <c r="K80" s="2"/>
      <c r="L80" s="2"/>
      <c r="M80" s="2"/>
      <c r="N80" s="2"/>
      <c r="O80" s="2"/>
      <c r="P80" s="2"/>
      <c r="Q80" s="2"/>
      <c r="R80" s="2"/>
      <c r="S80" s="2"/>
      <c r="T80" s="2"/>
      <c r="U80" s="2"/>
      <c r="V80" s="2"/>
      <c r="W80" s="2"/>
      <c r="X80" s="2"/>
      <c r="Y80" s="2"/>
      <c r="Z80" s="2"/>
    </row>
    <row r="81" ht="32.25" customHeight="1">
      <c r="A81" s="2"/>
      <c r="B81" s="141">
        <v>70.0</v>
      </c>
      <c r="C81" s="123" t="s">
        <v>338</v>
      </c>
      <c r="D81" s="11"/>
      <c r="E81" s="2"/>
      <c r="F81" s="139" t="s">
        <v>141</v>
      </c>
      <c r="G81" s="135"/>
      <c r="H81" s="136"/>
      <c r="I81" s="137"/>
      <c r="J81" s="2"/>
      <c r="K81" s="2"/>
      <c r="L81" s="2"/>
      <c r="M81" s="2"/>
      <c r="N81" s="2"/>
      <c r="O81" s="2"/>
      <c r="P81" s="2"/>
      <c r="Q81" s="2"/>
      <c r="R81" s="2"/>
      <c r="S81" s="2"/>
      <c r="T81" s="2"/>
      <c r="U81" s="2"/>
      <c r="V81" s="2"/>
      <c r="W81" s="2"/>
      <c r="X81" s="2"/>
      <c r="Y81" s="2"/>
      <c r="Z81" s="2"/>
    </row>
    <row r="82" ht="32.25" customHeight="1">
      <c r="A82" s="2"/>
      <c r="B82" s="140">
        <v>71.0</v>
      </c>
      <c r="C82" s="123" t="s">
        <v>339</v>
      </c>
      <c r="D82" s="11"/>
      <c r="E82" s="2"/>
      <c r="F82" s="139" t="s">
        <v>141</v>
      </c>
      <c r="G82" s="135"/>
      <c r="H82" s="136"/>
      <c r="I82" s="137"/>
      <c r="J82" s="2"/>
      <c r="K82" s="2"/>
      <c r="L82" s="2"/>
      <c r="M82" s="2"/>
      <c r="N82" s="2"/>
      <c r="O82" s="2"/>
      <c r="P82" s="2"/>
      <c r="Q82" s="2"/>
      <c r="R82" s="2"/>
      <c r="S82" s="2"/>
      <c r="T82" s="2"/>
      <c r="U82" s="2"/>
      <c r="V82" s="2"/>
      <c r="W82" s="2"/>
      <c r="X82" s="2"/>
      <c r="Y82" s="2"/>
      <c r="Z82" s="2"/>
    </row>
    <row r="83" ht="32.25" customHeight="1">
      <c r="A83" s="2"/>
      <c r="B83" s="140">
        <v>72.0</v>
      </c>
      <c r="C83" s="123" t="s">
        <v>340</v>
      </c>
      <c r="D83" s="11"/>
      <c r="E83" s="2"/>
      <c r="F83" s="139" t="s">
        <v>141</v>
      </c>
      <c r="G83" s="135"/>
      <c r="H83" s="136"/>
      <c r="I83" s="137"/>
      <c r="J83" s="2"/>
      <c r="K83" s="2"/>
      <c r="L83" s="2"/>
      <c r="M83" s="2"/>
      <c r="N83" s="2"/>
      <c r="O83" s="2"/>
      <c r="P83" s="2"/>
      <c r="Q83" s="2"/>
      <c r="R83" s="2"/>
      <c r="S83" s="2"/>
      <c r="T83" s="2"/>
      <c r="U83" s="2"/>
      <c r="V83" s="2"/>
      <c r="W83" s="2"/>
      <c r="X83" s="2"/>
      <c r="Y83" s="2"/>
      <c r="Z83" s="2"/>
    </row>
    <row r="84" ht="32.25" customHeight="1">
      <c r="A84" s="2"/>
      <c r="B84" s="140">
        <v>73.0</v>
      </c>
      <c r="C84" s="123" t="s">
        <v>341</v>
      </c>
      <c r="D84" s="11"/>
      <c r="E84" s="2"/>
      <c r="F84" s="139" t="s">
        <v>141</v>
      </c>
      <c r="G84" s="135"/>
      <c r="H84" s="136"/>
      <c r="I84" s="137"/>
      <c r="J84" s="2"/>
      <c r="K84" s="2"/>
      <c r="L84" s="2"/>
      <c r="M84" s="2"/>
      <c r="N84" s="2"/>
      <c r="O84" s="2"/>
      <c r="P84" s="2"/>
      <c r="Q84" s="2"/>
      <c r="R84" s="2"/>
      <c r="S84" s="2"/>
      <c r="T84" s="2"/>
      <c r="U84" s="2"/>
      <c r="V84" s="2"/>
      <c r="W84" s="2"/>
      <c r="X84" s="2"/>
      <c r="Y84" s="2"/>
      <c r="Z84" s="2"/>
    </row>
    <row r="85" ht="32.25" customHeight="1">
      <c r="A85" s="2"/>
      <c r="B85" s="140">
        <v>74.0</v>
      </c>
      <c r="C85" s="123" t="s">
        <v>342</v>
      </c>
      <c r="D85" s="11"/>
      <c r="E85" s="2"/>
      <c r="F85" s="139" t="s">
        <v>141</v>
      </c>
      <c r="G85" s="135"/>
      <c r="H85" s="136"/>
      <c r="I85" s="137"/>
      <c r="J85" s="2"/>
      <c r="K85" s="2"/>
      <c r="L85" s="2"/>
      <c r="M85" s="2"/>
      <c r="N85" s="2"/>
      <c r="O85" s="2"/>
      <c r="P85" s="2"/>
      <c r="Q85" s="2"/>
      <c r="R85" s="2"/>
      <c r="S85" s="2"/>
      <c r="T85" s="2"/>
      <c r="U85" s="2"/>
      <c r="V85" s="2"/>
      <c r="W85" s="2"/>
      <c r="X85" s="2"/>
      <c r="Y85" s="2"/>
      <c r="Z85" s="2"/>
    </row>
    <row r="86" ht="32.25" customHeight="1">
      <c r="A86" s="2"/>
      <c r="B86" s="140">
        <v>75.0</v>
      </c>
      <c r="C86" s="123" t="s">
        <v>343</v>
      </c>
      <c r="D86" s="11"/>
      <c r="E86" s="2"/>
      <c r="F86" s="139" t="s">
        <v>141</v>
      </c>
      <c r="G86" s="135"/>
      <c r="H86" s="136"/>
      <c r="I86" s="137"/>
      <c r="J86" s="2"/>
      <c r="K86" s="2"/>
      <c r="L86" s="2"/>
      <c r="M86" s="2"/>
      <c r="N86" s="2"/>
      <c r="O86" s="2"/>
      <c r="P86" s="2"/>
      <c r="Q86" s="2"/>
      <c r="R86" s="2"/>
      <c r="S86" s="2"/>
      <c r="T86" s="2"/>
      <c r="U86" s="2"/>
      <c r="V86" s="2"/>
      <c r="W86" s="2"/>
      <c r="X86" s="2"/>
      <c r="Y86" s="2"/>
      <c r="Z86" s="2"/>
    </row>
    <row r="87" ht="32.25" customHeight="1">
      <c r="A87" s="2"/>
      <c r="B87" s="140">
        <v>76.0</v>
      </c>
      <c r="C87" s="123" t="s">
        <v>344</v>
      </c>
      <c r="D87" s="11"/>
      <c r="E87" s="2"/>
      <c r="F87" s="139" t="s">
        <v>141</v>
      </c>
      <c r="G87" s="135"/>
      <c r="H87" s="136"/>
      <c r="I87" s="137"/>
      <c r="J87" s="2"/>
      <c r="K87" s="2"/>
      <c r="L87" s="2"/>
      <c r="M87" s="2"/>
      <c r="N87" s="2"/>
      <c r="O87" s="2"/>
      <c r="P87" s="2"/>
      <c r="Q87" s="2"/>
      <c r="R87" s="2"/>
      <c r="S87" s="2"/>
      <c r="T87" s="2"/>
      <c r="U87" s="2"/>
      <c r="V87" s="2"/>
      <c r="W87" s="2"/>
      <c r="X87" s="2"/>
      <c r="Y87" s="2"/>
      <c r="Z87" s="2"/>
    </row>
    <row r="88" ht="32.25" customHeight="1">
      <c r="A88" s="2"/>
      <c r="B88" s="140">
        <v>77.0</v>
      </c>
      <c r="C88" s="123" t="s">
        <v>345</v>
      </c>
      <c r="D88" s="11"/>
      <c r="E88" s="2"/>
      <c r="F88" s="139" t="s">
        <v>141</v>
      </c>
      <c r="G88" s="135"/>
      <c r="H88" s="136"/>
      <c r="I88" s="137"/>
      <c r="J88" s="2"/>
      <c r="K88" s="2"/>
      <c r="L88" s="2"/>
      <c r="M88" s="2"/>
      <c r="N88" s="2"/>
      <c r="O88" s="2"/>
      <c r="P88" s="2"/>
      <c r="Q88" s="2"/>
      <c r="R88" s="2"/>
      <c r="S88" s="2"/>
      <c r="T88" s="2"/>
      <c r="U88" s="2"/>
      <c r="V88" s="2"/>
      <c r="W88" s="2"/>
      <c r="X88" s="2"/>
      <c r="Y88" s="2"/>
      <c r="Z88" s="2"/>
    </row>
    <row r="89" ht="32.25" customHeight="1">
      <c r="A89" s="2"/>
      <c r="B89" s="140">
        <v>78.0</v>
      </c>
      <c r="C89" s="123" t="s">
        <v>346</v>
      </c>
      <c r="D89" s="11"/>
      <c r="E89" s="2"/>
      <c r="F89" s="139" t="s">
        <v>141</v>
      </c>
      <c r="G89" s="135"/>
      <c r="H89" s="136"/>
      <c r="I89" s="137"/>
      <c r="J89" s="2"/>
      <c r="K89" s="2"/>
      <c r="L89" s="2"/>
      <c r="M89" s="2"/>
      <c r="N89" s="2"/>
      <c r="O89" s="2"/>
      <c r="P89" s="2"/>
      <c r="Q89" s="2"/>
      <c r="R89" s="2"/>
      <c r="S89" s="2"/>
      <c r="T89" s="2"/>
      <c r="U89" s="2"/>
      <c r="V89" s="2"/>
      <c r="W89" s="2"/>
      <c r="X89" s="2"/>
      <c r="Y89" s="2"/>
      <c r="Z89" s="2"/>
    </row>
    <row r="90" ht="32.25" customHeight="1">
      <c r="A90" s="2"/>
      <c r="B90" s="140">
        <v>79.0</v>
      </c>
      <c r="C90" s="123" t="s">
        <v>347</v>
      </c>
      <c r="D90" s="11"/>
      <c r="E90" s="2"/>
      <c r="F90" s="139" t="s">
        <v>141</v>
      </c>
      <c r="G90" s="135"/>
      <c r="H90" s="136"/>
      <c r="I90" s="137"/>
      <c r="J90" s="2"/>
      <c r="K90" s="2"/>
      <c r="L90" s="2"/>
      <c r="M90" s="2"/>
      <c r="N90" s="2"/>
      <c r="O90" s="2"/>
      <c r="P90" s="2"/>
      <c r="Q90" s="2"/>
      <c r="R90" s="2"/>
      <c r="S90" s="2"/>
      <c r="T90" s="2"/>
      <c r="U90" s="2"/>
      <c r="V90" s="2"/>
      <c r="W90" s="2"/>
      <c r="X90" s="2"/>
      <c r="Y90" s="2"/>
      <c r="Z90" s="2"/>
    </row>
    <row r="91" ht="32.25" customHeight="1">
      <c r="A91" s="2"/>
      <c r="B91" s="140">
        <v>80.0</v>
      </c>
      <c r="C91" s="123" t="s">
        <v>348</v>
      </c>
      <c r="D91" s="11"/>
      <c r="E91" s="2"/>
      <c r="F91" s="139" t="s">
        <v>141</v>
      </c>
      <c r="G91" s="135"/>
      <c r="H91" s="136"/>
      <c r="I91" s="137"/>
      <c r="J91" s="2"/>
      <c r="K91" s="2"/>
      <c r="L91" s="2"/>
      <c r="M91" s="2"/>
      <c r="N91" s="2"/>
      <c r="O91" s="2"/>
      <c r="P91" s="2"/>
      <c r="Q91" s="2"/>
      <c r="R91" s="2"/>
      <c r="S91" s="2"/>
      <c r="T91" s="2"/>
      <c r="U91" s="2"/>
      <c r="V91" s="2"/>
      <c r="W91" s="2"/>
      <c r="X91" s="2"/>
      <c r="Y91" s="2"/>
      <c r="Z91" s="2"/>
    </row>
    <row r="92" ht="32.25" customHeight="1">
      <c r="A92" s="2"/>
      <c r="B92" s="140">
        <v>81.0</v>
      </c>
      <c r="C92" s="123" t="s">
        <v>349</v>
      </c>
      <c r="D92" s="11"/>
      <c r="E92" s="2"/>
      <c r="F92" s="139" t="s">
        <v>141</v>
      </c>
      <c r="G92" s="135"/>
      <c r="H92" s="136"/>
      <c r="I92" s="137"/>
      <c r="J92" s="2"/>
      <c r="K92" s="2"/>
      <c r="L92" s="2"/>
      <c r="M92" s="2"/>
      <c r="N92" s="2"/>
      <c r="O92" s="2"/>
      <c r="P92" s="2"/>
      <c r="Q92" s="2"/>
      <c r="R92" s="2"/>
      <c r="S92" s="2"/>
      <c r="T92" s="2"/>
      <c r="U92" s="2"/>
      <c r="V92" s="2"/>
      <c r="W92" s="2"/>
      <c r="X92" s="2"/>
      <c r="Y92" s="2"/>
      <c r="Z92" s="2"/>
    </row>
    <row r="93" ht="32.25" customHeight="1">
      <c r="A93" s="2"/>
      <c r="B93" s="140">
        <v>82.0</v>
      </c>
      <c r="C93" s="123" t="s">
        <v>350</v>
      </c>
      <c r="D93" s="11"/>
      <c r="E93" s="2"/>
      <c r="F93" s="139" t="s">
        <v>141</v>
      </c>
      <c r="G93" s="135"/>
      <c r="H93" s="136"/>
      <c r="I93" s="137"/>
      <c r="J93" s="2"/>
      <c r="K93" s="2"/>
      <c r="L93" s="2"/>
      <c r="M93" s="2"/>
      <c r="N93" s="2"/>
      <c r="O93" s="2"/>
      <c r="P93" s="2"/>
      <c r="Q93" s="2"/>
      <c r="R93" s="2"/>
      <c r="S93" s="2"/>
      <c r="T93" s="2"/>
      <c r="U93" s="2"/>
      <c r="V93" s="2"/>
      <c r="W93" s="2"/>
      <c r="X93" s="2"/>
      <c r="Y93" s="2"/>
      <c r="Z93" s="2"/>
    </row>
    <row r="94" ht="32.25" customHeight="1">
      <c r="A94" s="2"/>
      <c r="B94" s="140">
        <v>83.0</v>
      </c>
      <c r="C94" s="123" t="s">
        <v>351</v>
      </c>
      <c r="D94" s="11"/>
      <c r="E94" s="2"/>
      <c r="F94" s="139" t="s">
        <v>141</v>
      </c>
      <c r="G94" s="135"/>
      <c r="H94" s="136"/>
      <c r="I94" s="137"/>
      <c r="J94" s="2"/>
      <c r="K94" s="2"/>
      <c r="L94" s="2"/>
      <c r="M94" s="2"/>
      <c r="N94" s="2"/>
      <c r="O94" s="2"/>
      <c r="P94" s="2"/>
      <c r="Q94" s="2"/>
      <c r="R94" s="2"/>
      <c r="S94" s="2"/>
      <c r="T94" s="2"/>
      <c r="U94" s="2"/>
      <c r="V94" s="2"/>
      <c r="W94" s="2"/>
      <c r="X94" s="2"/>
      <c r="Y94" s="2"/>
      <c r="Z94" s="2"/>
    </row>
    <row r="95" ht="32.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32.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32.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32.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32.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32.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32.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32.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32.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32.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32.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32.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32.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32.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32.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32.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32.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32.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32.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32.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32.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32.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32.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32.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32.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32.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32.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32.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32.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32.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32.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32.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32.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32.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32.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32.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32.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32.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32.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32.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32.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32.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32.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32.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32.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32.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32.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32.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32.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32.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32.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32.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32.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32.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32.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32.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32.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32.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32.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32.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32.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32.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32.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32.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32.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32.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32.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32.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32.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32.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32.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32.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32.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32.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32.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32.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32.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32.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32.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32.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32.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32.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32.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32.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32.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32.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32.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32.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32.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32.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32.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32.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32.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32.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32.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32.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32.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32.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32.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32.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32.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32.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32.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32.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32.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32.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32.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32.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32.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32.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32.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32.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32.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32.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32.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32.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32.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32.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32.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32.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32.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32.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32.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32.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32.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32.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32.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32.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32.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32.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32.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32.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32.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32.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32.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32.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32.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32.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32.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32.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32.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32.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32.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32.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32.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32.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32.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32.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32.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32.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32.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32.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32.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32.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32.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32.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32.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32.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32.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32.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32.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32.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32.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32.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32.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32.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32.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32.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32.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32.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32.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32.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32.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32.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32.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32.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32.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32.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32.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32.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32.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32.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32.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32.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32.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32.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32.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32.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32.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32.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32.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32.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32.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32.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32.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32.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32.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32.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32.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32.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32.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32.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32.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32.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32.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32.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32.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32.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32.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32.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32.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32.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32.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32.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32.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32.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32.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32.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32.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32.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32.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32.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32.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32.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32.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32.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32.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32.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32.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32.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32.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32.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32.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32.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32.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32.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32.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32.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32.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32.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32.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32.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32.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32.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32.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32.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32.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32.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32.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32.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32.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32.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32.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32.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32.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32.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32.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32.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32.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32.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32.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32.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32.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32.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32.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32.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32.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32.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32.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32.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32.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32.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32.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32.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32.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32.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32.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32.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32.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32.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32.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32.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32.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32.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32.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32.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32.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32.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32.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32.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32.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32.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32.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32.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32.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32.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32.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32.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32.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32.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32.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32.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32.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32.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32.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32.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32.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32.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32.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32.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32.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32.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32.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32.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32.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32.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32.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32.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32.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32.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32.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32.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32.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32.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32.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32.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32.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32.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32.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32.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32.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32.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32.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32.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32.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32.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32.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32.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32.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32.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32.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32.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32.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32.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32.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32.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32.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32.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32.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32.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32.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32.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32.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32.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32.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32.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32.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32.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32.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32.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32.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32.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32.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32.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32.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32.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32.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32.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32.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32.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32.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32.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32.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32.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32.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32.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32.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32.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32.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32.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32.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32.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32.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32.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32.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32.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32.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32.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32.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32.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32.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32.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32.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32.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32.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32.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32.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32.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32.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32.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32.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32.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32.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32.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32.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32.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32.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32.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32.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32.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32.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32.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32.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32.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32.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32.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32.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32.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32.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32.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32.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32.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32.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32.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32.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32.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32.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32.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32.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32.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32.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32.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32.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32.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32.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32.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32.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32.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32.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32.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32.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32.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32.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32.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32.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32.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32.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32.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32.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32.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32.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32.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32.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32.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32.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32.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32.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32.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32.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32.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32.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32.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32.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32.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32.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32.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32.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32.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32.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32.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32.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32.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32.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32.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32.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32.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32.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32.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32.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32.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32.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32.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32.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32.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32.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32.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32.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32.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32.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32.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32.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32.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32.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32.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32.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32.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32.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32.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32.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32.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32.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32.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32.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32.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32.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32.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32.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32.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32.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32.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32.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32.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32.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32.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32.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32.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32.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32.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32.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32.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32.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32.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32.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32.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32.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32.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32.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32.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32.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32.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32.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32.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32.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32.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32.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32.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32.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32.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32.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32.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32.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32.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32.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32.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32.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32.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32.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32.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32.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32.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32.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32.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32.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32.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32.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32.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32.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32.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32.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32.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32.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32.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32.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32.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32.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32.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32.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32.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32.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32.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32.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32.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32.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32.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32.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32.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32.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32.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32.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32.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32.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32.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32.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32.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32.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32.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32.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32.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32.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32.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32.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32.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32.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32.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32.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32.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32.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32.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32.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32.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32.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32.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32.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32.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32.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32.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32.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32.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32.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32.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32.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32.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32.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32.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32.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32.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32.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32.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32.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32.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32.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32.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32.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32.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32.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32.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32.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32.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32.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32.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32.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32.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32.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32.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32.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32.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32.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32.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32.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32.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32.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32.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32.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32.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32.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32.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32.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32.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32.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32.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32.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32.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32.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32.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32.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32.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32.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32.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32.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32.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32.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32.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32.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32.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32.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32.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32.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32.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32.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32.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32.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32.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32.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32.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32.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32.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32.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32.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32.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32.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32.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32.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32.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32.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32.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32.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32.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32.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32.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32.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32.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32.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32.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32.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32.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32.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32.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32.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32.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32.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32.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32.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32.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32.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32.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32.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32.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32.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32.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32.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32.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32.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32.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32.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32.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32.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32.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32.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32.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32.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32.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32.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32.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32.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32.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32.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32.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32.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32.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32.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32.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32.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32.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32.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32.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32.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32.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32.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32.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32.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32.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32.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32.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32.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32.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32.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32.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32.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32.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32.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32.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32.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32.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32.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32.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32.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32.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32.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32.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32.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32.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32.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32.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32.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32.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32.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32.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32.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32.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32.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32.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32.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32.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32.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32.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32.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32.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32.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32.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32.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32.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32.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32.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32.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32.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32.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32.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32.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32.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32.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32.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32.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32.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32.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32.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32.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32.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32.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32.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32.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32.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32.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32.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32.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32.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32.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32.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32.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32.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32.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32.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32.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32.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32.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32.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32.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32.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32.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32.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32.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32.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32.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32.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32.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32.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32.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32.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32.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32.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32.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32.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32.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32.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32.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32.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32.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32.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32.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32.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32.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32.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32.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32.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32.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32.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32.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32.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32.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32.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32.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32.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32.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32.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32.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32.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32.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32.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32.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32.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32.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32.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32.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32.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32.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32.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32.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32.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32.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32.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32.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32.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32.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32.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32.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32.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32.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32.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32.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32.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32.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32.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32.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32.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32.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32.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32.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32.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32.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32.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32.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32.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32.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32.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32.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32.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32.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32.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32.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32.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32.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32.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32.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32.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32.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32.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94">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92:D92"/>
    <mergeCell ref="C93:D93"/>
    <mergeCell ref="C94:D94"/>
    <mergeCell ref="C85:D85"/>
    <mergeCell ref="C86:D86"/>
    <mergeCell ref="C87:D87"/>
    <mergeCell ref="C88:D88"/>
    <mergeCell ref="C89:D89"/>
    <mergeCell ref="C90:D90"/>
    <mergeCell ref="C91:D91"/>
    <mergeCell ref="B2:I2"/>
    <mergeCell ref="K2:L2"/>
    <mergeCell ref="C4:D4"/>
    <mergeCell ref="C5:D5"/>
    <mergeCell ref="C6:D6"/>
    <mergeCell ref="B7:C7"/>
    <mergeCell ref="B8:D8"/>
    <mergeCell ref="F9:H9"/>
    <mergeCell ref="I9:I10"/>
    <mergeCell ref="B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s>
  <hyperlinks>
    <hyperlink r:id="rId1" ref="B8"/>
  </hyperlinks>
  <printOptions/>
  <pageMargins bottom="0.75" footer="0.0" header="0.0" left="0.7" right="0.7" top="0.75"/>
  <pageSetup paperSize="9" orientation="portrait"/>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66"/>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11.43"/>
    <col customWidth="1" min="11" max="11" width="14.14"/>
    <col customWidth="1" min="12" max="26" width="11.43"/>
  </cols>
  <sheetData>
    <row r="2" ht="21.75" customHeight="1">
      <c r="B2" s="26" t="s">
        <v>124</v>
      </c>
      <c r="C2" s="27"/>
      <c r="D2" s="27"/>
      <c r="E2" s="27"/>
      <c r="F2" s="27"/>
      <c r="G2" s="27"/>
      <c r="H2" s="27"/>
      <c r="I2" s="27"/>
      <c r="K2" s="142" t="s">
        <v>125</v>
      </c>
      <c r="L2" s="29"/>
    </row>
    <row r="3" ht="15.0" customHeight="1">
      <c r="K3" s="31" t="s">
        <v>126</v>
      </c>
      <c r="L3" s="32">
        <f>COUNT(B12:D100)</f>
        <v>35</v>
      </c>
    </row>
    <row r="4">
      <c r="B4" s="33" t="s">
        <v>127</v>
      </c>
      <c r="C4" s="34" t="s">
        <v>128</v>
      </c>
      <c r="K4" s="31" t="s">
        <v>129</v>
      </c>
      <c r="L4" s="32">
        <f>COUNTIF(F12:F100,"X")</f>
        <v>35</v>
      </c>
    </row>
    <row r="5">
      <c r="B5" s="33" t="s">
        <v>130</v>
      </c>
      <c r="C5" s="34" t="s">
        <v>131</v>
      </c>
      <c r="K5" s="31" t="s">
        <v>134</v>
      </c>
      <c r="L5" s="143" t="str">
        <f>PERCENTOF(L4,L3)</f>
        <v>#NAME?</v>
      </c>
    </row>
    <row r="6">
      <c r="B6" s="33" t="s">
        <v>132</v>
      </c>
      <c r="C6" s="34" t="s">
        <v>133</v>
      </c>
    </row>
    <row r="7">
      <c r="B7" s="66" t="s">
        <v>135</v>
      </c>
      <c r="D7" s="34" t="s">
        <v>136</v>
      </c>
    </row>
    <row r="8" ht="15.75" customHeight="1">
      <c r="B8" s="144" t="s">
        <v>249</v>
      </c>
    </row>
    <row r="9">
      <c r="F9" s="37" t="s">
        <v>137</v>
      </c>
      <c r="G9" s="38"/>
      <c r="H9" s="39"/>
      <c r="I9" s="40" t="s">
        <v>250</v>
      </c>
    </row>
    <row r="10" ht="21.75" customHeight="1">
      <c r="B10" s="145" t="s">
        <v>352</v>
      </c>
      <c r="C10" s="27"/>
      <c r="D10" s="27"/>
      <c r="E10" s="43"/>
      <c r="F10" s="44" t="s">
        <v>127</v>
      </c>
      <c r="G10" s="45" t="s">
        <v>130</v>
      </c>
      <c r="H10" s="45" t="s">
        <v>132</v>
      </c>
      <c r="I10" s="46"/>
      <c r="J10" s="67"/>
    </row>
    <row r="11" ht="11.25" customHeight="1">
      <c r="C11" s="146"/>
      <c r="D11" s="120"/>
      <c r="F11" s="147"/>
      <c r="G11" s="147"/>
      <c r="H11" s="147"/>
      <c r="I11" s="147"/>
    </row>
    <row r="12">
      <c r="B12" s="148">
        <v>1.0</v>
      </c>
      <c r="C12" s="149" t="s">
        <v>353</v>
      </c>
      <c r="D12" s="150"/>
      <c r="E12" s="54"/>
      <c r="F12" s="151" t="s">
        <v>169</v>
      </c>
      <c r="G12" s="151"/>
      <c r="H12" s="152"/>
      <c r="I12" s="153"/>
    </row>
    <row r="13">
      <c r="B13" s="154">
        <v>2.0</v>
      </c>
      <c r="C13" s="155" t="s">
        <v>354</v>
      </c>
      <c r="D13" s="156"/>
      <c r="E13" s="54"/>
      <c r="F13" s="151" t="s">
        <v>169</v>
      </c>
      <c r="G13" s="151"/>
      <c r="H13" s="152"/>
      <c r="I13" s="153"/>
    </row>
    <row r="14" ht="18.75" customHeight="1">
      <c r="B14" s="154">
        <v>3.0</v>
      </c>
      <c r="C14" s="157" t="s">
        <v>355</v>
      </c>
      <c r="D14" s="156"/>
      <c r="E14" s="54"/>
      <c r="F14" s="151" t="s">
        <v>169</v>
      </c>
      <c r="G14" s="151"/>
      <c r="H14" s="152"/>
      <c r="I14" s="153"/>
    </row>
    <row r="15">
      <c r="B15" s="158">
        <v>4.0</v>
      </c>
      <c r="C15" s="159" t="s">
        <v>356</v>
      </c>
      <c r="D15" s="150"/>
      <c r="E15" s="54"/>
      <c r="F15" s="160" t="s">
        <v>169</v>
      </c>
      <c r="G15" s="160"/>
      <c r="H15" s="152"/>
      <c r="I15" s="161"/>
    </row>
    <row r="16">
      <c r="B16" s="158">
        <v>5.0</v>
      </c>
      <c r="C16" s="162" t="s">
        <v>357</v>
      </c>
      <c r="D16" s="11"/>
      <c r="F16" s="31" t="s">
        <v>169</v>
      </c>
      <c r="G16" s="31"/>
      <c r="H16" s="152"/>
      <c r="I16" s="31"/>
    </row>
    <row r="17">
      <c r="B17" s="158">
        <v>6.0</v>
      </c>
      <c r="C17" s="162" t="s">
        <v>358</v>
      </c>
      <c r="D17" s="11"/>
      <c r="F17" s="160" t="s">
        <v>169</v>
      </c>
      <c r="G17" s="160"/>
      <c r="H17" s="152"/>
      <c r="I17" s="161"/>
    </row>
    <row r="18">
      <c r="B18" s="158">
        <v>7.0</v>
      </c>
      <c r="C18" s="162" t="s">
        <v>359</v>
      </c>
      <c r="D18" s="11"/>
      <c r="F18" s="31" t="s">
        <v>169</v>
      </c>
      <c r="G18" s="31"/>
      <c r="H18" s="152"/>
      <c r="I18" s="31"/>
    </row>
    <row r="19">
      <c r="B19" s="158">
        <v>8.0</v>
      </c>
      <c r="C19" s="162" t="s">
        <v>360</v>
      </c>
      <c r="D19" s="11"/>
      <c r="F19" s="160" t="s">
        <v>169</v>
      </c>
      <c r="G19" s="160"/>
      <c r="H19" s="152"/>
      <c r="I19" s="161"/>
    </row>
    <row r="20">
      <c r="B20" s="158">
        <v>9.0</v>
      </c>
      <c r="C20" s="163" t="s">
        <v>361</v>
      </c>
      <c r="D20" s="11"/>
      <c r="F20" s="31" t="s">
        <v>169</v>
      </c>
      <c r="G20" s="31"/>
      <c r="H20" s="152"/>
      <c r="I20" s="31"/>
    </row>
    <row r="21" ht="15.75" customHeight="1">
      <c r="B21" s="158">
        <v>10.0</v>
      </c>
      <c r="C21" s="162" t="s">
        <v>362</v>
      </c>
      <c r="D21" s="11"/>
      <c r="F21" s="160" t="s">
        <v>169</v>
      </c>
      <c r="G21" s="160"/>
      <c r="H21" s="152"/>
      <c r="I21" s="161"/>
    </row>
    <row r="22" ht="15.75" customHeight="1">
      <c r="B22" s="158">
        <v>11.0</v>
      </c>
      <c r="C22" s="162" t="s">
        <v>363</v>
      </c>
      <c r="D22" s="11"/>
      <c r="F22" s="31" t="s">
        <v>169</v>
      </c>
      <c r="G22" s="31"/>
      <c r="H22" s="152"/>
      <c r="I22" s="31"/>
    </row>
    <row r="23" ht="15.75" customHeight="1">
      <c r="B23" s="158">
        <v>12.0</v>
      </c>
      <c r="C23" s="162" t="s">
        <v>364</v>
      </c>
      <c r="D23" s="11"/>
      <c r="F23" s="160" t="s">
        <v>169</v>
      </c>
      <c r="G23" s="160"/>
      <c r="H23" s="152"/>
      <c r="I23" s="161"/>
    </row>
    <row r="24" ht="15.75" customHeight="1">
      <c r="B24" s="158">
        <v>13.0</v>
      </c>
      <c r="C24" s="162" t="s">
        <v>365</v>
      </c>
      <c r="D24" s="11"/>
      <c r="F24" s="31" t="s">
        <v>169</v>
      </c>
      <c r="G24" s="31"/>
      <c r="H24" s="152"/>
      <c r="I24" s="31"/>
    </row>
    <row r="25" ht="15.75" customHeight="1">
      <c r="B25" s="158">
        <v>14.0</v>
      </c>
      <c r="C25" s="164" t="s">
        <v>366</v>
      </c>
      <c r="D25" s="72"/>
      <c r="F25" s="160" t="s">
        <v>169</v>
      </c>
      <c r="G25" s="160"/>
      <c r="H25" s="152"/>
      <c r="I25" s="161"/>
    </row>
    <row r="26" ht="15.75" customHeight="1">
      <c r="B26" s="158">
        <v>15.0</v>
      </c>
      <c r="C26" s="165" t="s">
        <v>367</v>
      </c>
      <c r="D26" s="11"/>
      <c r="F26" s="31" t="s">
        <v>169</v>
      </c>
      <c r="G26" s="31"/>
      <c r="H26" s="152"/>
      <c r="I26" s="31"/>
    </row>
    <row r="27" ht="15.75" customHeight="1">
      <c r="B27" s="158">
        <v>16.0</v>
      </c>
      <c r="C27" s="165" t="s">
        <v>368</v>
      </c>
      <c r="D27" s="11"/>
      <c r="F27" s="160" t="s">
        <v>169</v>
      </c>
      <c r="G27" s="160"/>
      <c r="H27" s="152"/>
      <c r="I27" s="161"/>
    </row>
    <row r="28" ht="15.75" customHeight="1">
      <c r="B28" s="158">
        <v>17.0</v>
      </c>
      <c r="C28" s="165" t="s">
        <v>369</v>
      </c>
      <c r="D28" s="11"/>
      <c r="F28" s="31" t="s">
        <v>169</v>
      </c>
      <c r="G28" s="31"/>
      <c r="H28" s="152"/>
      <c r="I28" s="31"/>
    </row>
    <row r="29" ht="15.75" customHeight="1">
      <c r="B29" s="158">
        <v>18.0</v>
      </c>
      <c r="C29" s="165" t="s">
        <v>370</v>
      </c>
      <c r="D29" s="11"/>
      <c r="F29" s="160" t="s">
        <v>169</v>
      </c>
      <c r="G29" s="160"/>
      <c r="H29" s="152"/>
      <c r="I29" s="161"/>
    </row>
    <row r="30" ht="15.75" customHeight="1">
      <c r="B30" s="158">
        <v>19.0</v>
      </c>
      <c r="C30" s="165" t="s">
        <v>371</v>
      </c>
      <c r="D30" s="11"/>
      <c r="F30" s="31" t="s">
        <v>169</v>
      </c>
      <c r="G30" s="31"/>
      <c r="H30" s="152"/>
      <c r="I30" s="31"/>
    </row>
    <row r="31" ht="15.75" customHeight="1">
      <c r="B31" s="158">
        <v>20.0</v>
      </c>
      <c r="C31" s="166" t="s">
        <v>372</v>
      </c>
      <c r="D31" s="64"/>
      <c r="F31" s="160" t="s">
        <v>169</v>
      </c>
      <c r="G31" s="160"/>
      <c r="H31" s="152"/>
      <c r="I31" s="161"/>
    </row>
    <row r="32" ht="15.75" customHeight="1">
      <c r="B32" s="158">
        <v>21.0</v>
      </c>
      <c r="C32" s="165" t="s">
        <v>373</v>
      </c>
      <c r="D32" s="11"/>
      <c r="F32" s="31" t="s">
        <v>141</v>
      </c>
      <c r="G32" s="31"/>
      <c r="H32" s="152"/>
      <c r="I32" s="31"/>
    </row>
    <row r="33" ht="15.75" customHeight="1">
      <c r="B33" s="158">
        <v>22.0</v>
      </c>
      <c r="C33" s="165" t="s">
        <v>374</v>
      </c>
      <c r="D33" s="11"/>
      <c r="F33" s="160" t="s">
        <v>141</v>
      </c>
      <c r="G33" s="160"/>
      <c r="H33" s="152"/>
      <c r="I33" s="161"/>
    </row>
    <row r="34" ht="15.75" customHeight="1">
      <c r="B34" s="158">
        <v>23.0</v>
      </c>
      <c r="C34" s="165" t="s">
        <v>375</v>
      </c>
      <c r="D34" s="11"/>
      <c r="F34" s="31" t="s">
        <v>169</v>
      </c>
      <c r="G34" s="31"/>
      <c r="H34" s="152"/>
      <c r="I34" s="31"/>
    </row>
    <row r="35" ht="15.75" customHeight="1">
      <c r="B35" s="158">
        <v>24.0</v>
      </c>
      <c r="C35" s="166" t="s">
        <v>376</v>
      </c>
      <c r="D35" s="64"/>
      <c r="F35" s="160" t="s">
        <v>169</v>
      </c>
      <c r="G35" s="160"/>
      <c r="H35" s="152"/>
      <c r="I35" s="161"/>
    </row>
    <row r="36" ht="15.75" customHeight="1">
      <c r="B36" s="158">
        <v>25.0</v>
      </c>
      <c r="C36" s="165" t="s">
        <v>377</v>
      </c>
      <c r="D36" s="11"/>
      <c r="F36" s="31" t="s">
        <v>169</v>
      </c>
      <c r="G36" s="31"/>
      <c r="H36" s="152"/>
      <c r="I36" s="31"/>
    </row>
    <row r="37" ht="15.75" customHeight="1">
      <c r="B37" s="158">
        <v>26.0</v>
      </c>
      <c r="C37" s="165" t="s">
        <v>378</v>
      </c>
      <c r="D37" s="11"/>
      <c r="F37" s="31" t="s">
        <v>169</v>
      </c>
      <c r="G37" s="31"/>
      <c r="H37" s="152"/>
      <c r="I37" s="31"/>
    </row>
    <row r="38" ht="15.75" customHeight="1">
      <c r="B38" s="158">
        <v>27.0</v>
      </c>
      <c r="C38" s="165" t="s">
        <v>379</v>
      </c>
      <c r="D38" s="11"/>
      <c r="F38" s="160" t="s">
        <v>169</v>
      </c>
      <c r="G38" s="160"/>
      <c r="H38" s="152"/>
      <c r="I38" s="161"/>
    </row>
    <row r="39" ht="15.75" customHeight="1">
      <c r="B39" s="158">
        <v>28.0</v>
      </c>
      <c r="C39" s="166" t="s">
        <v>380</v>
      </c>
      <c r="D39" s="64"/>
      <c r="F39" s="31" t="s">
        <v>169</v>
      </c>
      <c r="G39" s="31"/>
      <c r="H39" s="152"/>
      <c r="I39" s="31"/>
    </row>
    <row r="40" ht="15.75" customHeight="1">
      <c r="B40" s="158">
        <v>29.0</v>
      </c>
      <c r="C40" s="165" t="s">
        <v>381</v>
      </c>
      <c r="D40" s="11"/>
      <c r="F40" s="160" t="s">
        <v>169</v>
      </c>
      <c r="G40" s="160"/>
      <c r="H40" s="152"/>
      <c r="I40" s="161"/>
    </row>
    <row r="41" ht="15.75" customHeight="1">
      <c r="B41" s="158">
        <v>30.0</v>
      </c>
      <c r="C41" s="165" t="s">
        <v>382</v>
      </c>
      <c r="D41" s="11"/>
      <c r="F41" s="31" t="s">
        <v>169</v>
      </c>
      <c r="G41" s="31"/>
      <c r="H41" s="152"/>
      <c r="I41" s="31"/>
    </row>
    <row r="42" ht="15.75" customHeight="1">
      <c r="B42" s="158">
        <v>31.0</v>
      </c>
      <c r="C42" s="165" t="s">
        <v>383</v>
      </c>
      <c r="D42" s="11"/>
      <c r="F42" s="160" t="s">
        <v>169</v>
      </c>
      <c r="G42" s="160"/>
      <c r="H42" s="152"/>
      <c r="I42" s="161"/>
    </row>
    <row r="43" ht="15.75" customHeight="1">
      <c r="B43" s="158">
        <v>32.0</v>
      </c>
      <c r="C43" s="166" t="s">
        <v>384</v>
      </c>
      <c r="D43" s="64"/>
      <c r="F43" s="31" t="s">
        <v>169</v>
      </c>
      <c r="G43" s="31"/>
      <c r="H43" s="152"/>
      <c r="I43" s="31"/>
    </row>
    <row r="44" ht="15.75" customHeight="1">
      <c r="B44" s="158">
        <v>33.0</v>
      </c>
      <c r="C44" s="165" t="s">
        <v>385</v>
      </c>
      <c r="D44" s="11"/>
      <c r="F44" s="160" t="s">
        <v>169</v>
      </c>
      <c r="G44" s="160"/>
      <c r="H44" s="152"/>
      <c r="I44" s="161"/>
    </row>
    <row r="45" ht="15.75" customHeight="1">
      <c r="B45" s="158">
        <v>34.0</v>
      </c>
      <c r="C45" s="165" t="s">
        <v>386</v>
      </c>
      <c r="D45" s="11"/>
      <c r="F45" s="31" t="s">
        <v>169</v>
      </c>
      <c r="G45" s="31"/>
      <c r="H45" s="152"/>
      <c r="I45" s="31"/>
    </row>
    <row r="46" ht="15.75" customHeight="1">
      <c r="B46" s="158">
        <v>35.0</v>
      </c>
      <c r="C46" s="165" t="s">
        <v>387</v>
      </c>
      <c r="D46" s="11"/>
      <c r="F46" s="167" t="s">
        <v>169</v>
      </c>
      <c r="G46" s="167"/>
      <c r="H46" s="168"/>
      <c r="I46" s="169"/>
    </row>
    <row r="47" ht="15.75" customHeight="1">
      <c r="B47" s="170"/>
      <c r="C47" s="171"/>
      <c r="D47" s="171"/>
    </row>
    <row r="48" ht="15.75" customHeight="1">
      <c r="B48" s="170"/>
      <c r="C48" s="170"/>
      <c r="D48" s="170"/>
    </row>
    <row r="49" ht="15.75" customHeight="1">
      <c r="B49" s="170"/>
      <c r="C49" s="170"/>
      <c r="D49" s="170"/>
    </row>
    <row r="50" ht="15.75" customHeight="1">
      <c r="B50" s="170"/>
      <c r="C50" s="170"/>
      <c r="D50" s="170"/>
    </row>
    <row r="51" ht="15.75" customHeight="1">
      <c r="B51" s="170"/>
      <c r="C51" s="170"/>
      <c r="D51" s="170"/>
    </row>
    <row r="52" ht="15.75" customHeight="1">
      <c r="B52" s="170"/>
      <c r="C52" s="170"/>
      <c r="D52" s="170"/>
    </row>
    <row r="53" ht="15.75" customHeight="1">
      <c r="B53" s="170"/>
      <c r="C53" s="170"/>
      <c r="D53" s="170"/>
    </row>
    <row r="54" ht="15.75" customHeight="1">
      <c r="B54" s="170"/>
      <c r="C54" s="170"/>
      <c r="D54" s="170"/>
    </row>
    <row r="55" ht="15.75" customHeight="1">
      <c r="B55" s="170"/>
      <c r="C55" s="170"/>
      <c r="D55" s="170"/>
    </row>
    <row r="56" ht="15.75" customHeight="1">
      <c r="B56" s="170"/>
      <c r="C56" s="170"/>
      <c r="D56" s="170"/>
    </row>
    <row r="57" ht="15.75" customHeight="1">
      <c r="B57" s="170"/>
      <c r="C57" s="170"/>
      <c r="D57" s="170"/>
    </row>
    <row r="58" ht="15.75" customHeight="1">
      <c r="B58" s="170"/>
      <c r="C58" s="170"/>
      <c r="D58" s="170"/>
    </row>
    <row r="59" ht="15.75" customHeight="1">
      <c r="B59" s="170"/>
      <c r="C59" s="170"/>
      <c r="D59" s="170"/>
    </row>
    <row r="60" ht="15.75" customHeight="1">
      <c r="B60" s="170"/>
      <c r="C60" s="170"/>
      <c r="D60" s="170"/>
    </row>
    <row r="61" ht="15.75" customHeight="1">
      <c r="B61" s="170"/>
      <c r="C61" s="170"/>
      <c r="D61" s="170"/>
    </row>
    <row r="62" ht="15.75" customHeight="1">
      <c r="B62" s="170"/>
      <c r="C62" s="170"/>
      <c r="D62" s="170"/>
    </row>
    <row r="63" ht="15.75" customHeight="1">
      <c r="B63" s="170"/>
      <c r="C63" s="170"/>
      <c r="D63" s="170"/>
    </row>
    <row r="64" ht="15.75" customHeight="1">
      <c r="B64" s="170"/>
      <c r="C64" s="170"/>
      <c r="D64" s="170"/>
    </row>
    <row r="65" ht="15.75" customHeight="1">
      <c r="B65" s="170"/>
      <c r="C65" s="170"/>
      <c r="D65" s="170"/>
    </row>
    <row r="66" ht="15.75" customHeight="1">
      <c r="B66" s="170"/>
      <c r="C66" s="170"/>
      <c r="D66" s="170"/>
    </row>
    <row r="67" ht="15.75" customHeight="1">
      <c r="B67" s="170"/>
      <c r="C67" s="170"/>
      <c r="D67" s="170"/>
    </row>
    <row r="68" ht="15.75" customHeight="1">
      <c r="B68" s="170"/>
      <c r="C68" s="170"/>
      <c r="D68" s="170"/>
    </row>
    <row r="69" ht="15.75" customHeight="1">
      <c r="B69" s="170"/>
      <c r="C69" s="170"/>
      <c r="D69" s="170"/>
    </row>
    <row r="70" ht="15.75" customHeight="1">
      <c r="B70" s="170"/>
      <c r="C70" s="170"/>
      <c r="D70" s="170"/>
    </row>
    <row r="71" ht="15.75" customHeight="1">
      <c r="B71" s="170"/>
      <c r="C71" s="170"/>
      <c r="D71" s="170"/>
    </row>
    <row r="72" ht="15.75" customHeight="1">
      <c r="B72" s="170"/>
      <c r="C72" s="170"/>
      <c r="D72" s="170"/>
    </row>
    <row r="73" ht="15.75" customHeight="1">
      <c r="B73" s="170"/>
      <c r="C73" s="170"/>
      <c r="D73" s="170"/>
    </row>
    <row r="74" ht="15.75" customHeight="1">
      <c r="B74" s="170"/>
      <c r="C74" s="170"/>
      <c r="D74" s="170"/>
    </row>
    <row r="75" ht="15.75" customHeight="1">
      <c r="B75" s="170"/>
      <c r="C75" s="170"/>
      <c r="D75" s="170"/>
    </row>
    <row r="76" ht="15.75" customHeight="1">
      <c r="B76" s="170"/>
      <c r="C76" s="170"/>
      <c r="D76" s="170"/>
    </row>
    <row r="77" ht="15.75" customHeight="1">
      <c r="B77" s="170"/>
      <c r="C77" s="170"/>
      <c r="D77" s="170"/>
    </row>
    <row r="78" ht="15.75" customHeight="1">
      <c r="B78" s="170"/>
      <c r="C78" s="170"/>
      <c r="D78" s="170"/>
    </row>
    <row r="79" ht="15.75" customHeight="1">
      <c r="B79" s="170"/>
      <c r="C79" s="170"/>
      <c r="D79" s="170"/>
    </row>
    <row r="80" ht="15.75" customHeight="1">
      <c r="B80" s="170"/>
      <c r="C80" s="170"/>
      <c r="D80" s="170"/>
    </row>
    <row r="81" ht="15.75" customHeight="1">
      <c r="B81" s="170"/>
      <c r="C81" s="170"/>
      <c r="D81" s="170"/>
    </row>
    <row r="82" ht="15.75" customHeight="1">
      <c r="B82" s="170"/>
      <c r="C82" s="170"/>
      <c r="D82" s="170"/>
    </row>
    <row r="83" ht="15.75" customHeight="1">
      <c r="B83" s="170"/>
      <c r="C83" s="170"/>
      <c r="D83" s="170"/>
    </row>
    <row r="84" ht="15.75" customHeight="1">
      <c r="B84" s="170"/>
      <c r="C84" s="170"/>
      <c r="D84" s="170"/>
    </row>
    <row r="85" ht="15.75" customHeight="1">
      <c r="B85" s="170"/>
      <c r="C85" s="170"/>
      <c r="D85" s="170"/>
    </row>
    <row r="86" ht="15.75" customHeight="1">
      <c r="B86" s="170"/>
      <c r="C86" s="170"/>
      <c r="D86" s="170"/>
    </row>
    <row r="87" ht="15.75" customHeight="1">
      <c r="B87" s="170"/>
      <c r="C87" s="170"/>
      <c r="D87" s="170"/>
    </row>
    <row r="88" ht="15.75" customHeight="1">
      <c r="B88" s="170"/>
      <c r="C88" s="170"/>
      <c r="D88" s="170"/>
    </row>
    <row r="89" ht="15.75" customHeight="1">
      <c r="B89" s="170"/>
      <c r="C89" s="170"/>
      <c r="D89" s="170"/>
    </row>
    <row r="90" ht="15.75" customHeight="1">
      <c r="B90" s="170"/>
      <c r="C90" s="170"/>
      <c r="D90" s="170"/>
    </row>
    <row r="91" ht="15.75" customHeight="1">
      <c r="B91" s="170"/>
      <c r="C91" s="170"/>
      <c r="D91" s="170"/>
    </row>
    <row r="92" ht="15.75" customHeight="1">
      <c r="B92" s="170"/>
      <c r="C92" s="170"/>
      <c r="D92" s="170"/>
    </row>
    <row r="93" ht="15.75" customHeight="1">
      <c r="B93" s="170"/>
      <c r="C93" s="170"/>
      <c r="D93" s="170"/>
    </row>
    <row r="94" ht="15.75" customHeight="1">
      <c r="B94" s="170"/>
      <c r="C94" s="170"/>
      <c r="D94" s="170"/>
    </row>
    <row r="95" ht="15.75" customHeight="1">
      <c r="B95" s="170"/>
      <c r="C95" s="170"/>
      <c r="D95" s="170"/>
    </row>
    <row r="96" ht="15.75" customHeight="1">
      <c r="B96" s="170"/>
      <c r="C96" s="170"/>
      <c r="D96" s="170"/>
    </row>
    <row r="97" ht="15.75" customHeight="1">
      <c r="B97" s="170"/>
      <c r="C97" s="170"/>
      <c r="D97" s="170"/>
    </row>
    <row r="98" ht="15.75" customHeight="1">
      <c r="B98" s="170"/>
      <c r="C98" s="170"/>
      <c r="D98" s="170"/>
    </row>
    <row r="99" ht="15.75" customHeight="1">
      <c r="B99" s="170"/>
      <c r="C99" s="170"/>
      <c r="D99" s="170"/>
    </row>
    <row r="100" ht="15.75" customHeight="1">
      <c r="B100" s="170"/>
      <c r="C100" s="170"/>
      <c r="D100" s="170"/>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6">
    <mergeCell ref="B2:I2"/>
    <mergeCell ref="K2:L2"/>
    <mergeCell ref="C4:D4"/>
    <mergeCell ref="C5:D5"/>
    <mergeCell ref="C6:D6"/>
    <mergeCell ref="B7:C7"/>
    <mergeCell ref="B8:D8"/>
    <mergeCell ref="F9:H9"/>
    <mergeCell ref="I9:I10"/>
    <mergeCell ref="B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43:D43"/>
    <mergeCell ref="C44:D44"/>
    <mergeCell ref="C45:D45"/>
    <mergeCell ref="C46:D46"/>
    <mergeCell ref="C36:D36"/>
    <mergeCell ref="C37:D37"/>
    <mergeCell ref="C38:D38"/>
    <mergeCell ref="C39:D39"/>
    <mergeCell ref="C40:D40"/>
    <mergeCell ref="C41:D41"/>
    <mergeCell ref="C42:D42"/>
  </mergeCells>
  <hyperlinks>
    <hyperlink r:id="rId1" ref="B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3.71"/>
    <col customWidth="1" min="5" max="5" width="4.29"/>
    <col customWidth="1" min="6" max="8" width="7.14"/>
    <col customWidth="1" min="9" max="9" width="85.71"/>
    <col customWidth="1" min="10" max="10" width="11.43"/>
    <col customWidth="1" min="11" max="11" width="14.14"/>
    <col customWidth="1" min="12" max="26" width="11.43"/>
  </cols>
  <sheetData>
    <row r="1" ht="32.25" customHeight="1"/>
    <row r="2" ht="32.25" customHeight="1">
      <c r="B2" s="26" t="s">
        <v>124</v>
      </c>
      <c r="C2" s="27"/>
      <c r="D2" s="27"/>
      <c r="E2" s="27"/>
      <c r="F2" s="27"/>
      <c r="G2" s="27"/>
      <c r="H2" s="27"/>
      <c r="I2" s="27"/>
      <c r="K2" s="172" t="s">
        <v>125</v>
      </c>
      <c r="L2" s="29"/>
    </row>
    <row r="3" ht="32.25" customHeight="1">
      <c r="K3" s="31" t="s">
        <v>126</v>
      </c>
      <c r="L3" s="32">
        <f>COUNT(B12:D75)</f>
        <v>9</v>
      </c>
    </row>
    <row r="4" ht="32.25" customHeight="1">
      <c r="B4" s="33" t="s">
        <v>127</v>
      </c>
      <c r="C4" s="34" t="s">
        <v>128</v>
      </c>
      <c r="K4" s="31" t="s">
        <v>129</v>
      </c>
      <c r="L4" s="32">
        <f>COUNTIF(F12:F75,"X")</f>
        <v>8</v>
      </c>
    </row>
    <row r="5" ht="32.25" customHeight="1">
      <c r="B5" s="33" t="s">
        <v>130</v>
      </c>
      <c r="C5" s="34" t="s">
        <v>131</v>
      </c>
      <c r="K5" s="31" t="s">
        <v>134</v>
      </c>
      <c r="L5" s="35" t="str">
        <f>PERCENTOF(L4,L3)</f>
        <v>#NAME?</v>
      </c>
    </row>
    <row r="6" ht="32.25" customHeight="1">
      <c r="B6" s="33" t="s">
        <v>132</v>
      </c>
      <c r="C6" s="34" t="s">
        <v>133</v>
      </c>
    </row>
    <row r="7" ht="32.25" customHeight="1">
      <c r="B7" s="66" t="s">
        <v>135</v>
      </c>
      <c r="D7" s="34" t="s">
        <v>136</v>
      </c>
    </row>
    <row r="8" ht="32.25" customHeight="1">
      <c r="B8" s="173" t="s">
        <v>388</v>
      </c>
      <c r="C8" s="66"/>
      <c r="D8" s="34"/>
    </row>
    <row r="9" ht="32.25" customHeight="1">
      <c r="B9" s="174"/>
      <c r="E9" s="175"/>
      <c r="F9" s="175"/>
      <c r="G9" s="175"/>
      <c r="H9" s="175"/>
      <c r="I9" s="175"/>
    </row>
    <row r="10" ht="32.25" customHeight="1">
      <c r="F10" s="37" t="s">
        <v>137</v>
      </c>
      <c r="G10" s="38"/>
      <c r="H10" s="39"/>
      <c r="I10" s="40" t="s">
        <v>250</v>
      </c>
    </row>
    <row r="11" ht="32.25" customHeight="1">
      <c r="B11" s="176" t="s">
        <v>389</v>
      </c>
      <c r="C11" s="27"/>
      <c r="D11" s="27"/>
      <c r="E11" s="43"/>
      <c r="F11" s="44" t="s">
        <v>127</v>
      </c>
      <c r="G11" s="45" t="s">
        <v>130</v>
      </c>
      <c r="H11" s="45" t="s">
        <v>132</v>
      </c>
      <c r="I11" s="46"/>
      <c r="J11" s="67"/>
    </row>
    <row r="12" ht="32.25" customHeight="1">
      <c r="C12" s="177"/>
      <c r="F12" s="147"/>
      <c r="G12" s="147"/>
      <c r="H12" s="147"/>
      <c r="I12" s="147"/>
    </row>
    <row r="13" ht="32.25" customHeight="1">
      <c r="B13" s="178">
        <v>1.0</v>
      </c>
      <c r="C13" s="155" t="s">
        <v>390</v>
      </c>
      <c r="D13" s="156"/>
      <c r="E13" s="54"/>
      <c r="F13" s="179" t="s">
        <v>141</v>
      </c>
      <c r="G13" s="151"/>
      <c r="H13" s="152"/>
      <c r="I13" s="153" t="s">
        <v>255</v>
      </c>
    </row>
    <row r="14" ht="32.25" customHeight="1">
      <c r="B14" s="178">
        <v>2.0</v>
      </c>
      <c r="C14" s="157" t="s">
        <v>391</v>
      </c>
      <c r="D14" s="156"/>
      <c r="E14" s="180"/>
      <c r="F14" s="179" t="s">
        <v>141</v>
      </c>
      <c r="G14" s="151"/>
      <c r="H14" s="152"/>
      <c r="I14" s="153" t="s">
        <v>255</v>
      </c>
    </row>
    <row r="15" ht="32.25" customHeight="1">
      <c r="B15" s="178">
        <v>3.0</v>
      </c>
      <c r="C15" s="155" t="s">
        <v>392</v>
      </c>
      <c r="D15" s="156"/>
      <c r="E15" s="54"/>
      <c r="F15" s="179" t="s">
        <v>141</v>
      </c>
      <c r="G15" s="151"/>
      <c r="H15" s="152"/>
      <c r="I15" s="153"/>
    </row>
    <row r="16" ht="32.25" customHeight="1">
      <c r="B16" s="178">
        <v>4.0</v>
      </c>
      <c r="C16" s="157" t="s">
        <v>393</v>
      </c>
      <c r="D16" s="156"/>
      <c r="E16" s="54"/>
      <c r="F16" s="179" t="s">
        <v>141</v>
      </c>
      <c r="G16" s="151"/>
      <c r="H16" s="152"/>
      <c r="I16" s="153"/>
    </row>
    <row r="17" ht="32.25" customHeight="1">
      <c r="B17" s="178">
        <v>5.0</v>
      </c>
      <c r="C17" s="181" t="s">
        <v>394</v>
      </c>
      <c r="D17" s="156"/>
      <c r="E17" s="54"/>
      <c r="F17" s="179" t="s">
        <v>141</v>
      </c>
      <c r="G17" s="151"/>
      <c r="H17" s="152"/>
      <c r="I17" s="153"/>
    </row>
    <row r="18" ht="32.25" customHeight="1">
      <c r="B18" s="182">
        <v>6.0</v>
      </c>
      <c r="C18" s="155" t="s">
        <v>395</v>
      </c>
      <c r="D18" s="156"/>
      <c r="E18" s="54"/>
      <c r="F18" s="179"/>
      <c r="G18" s="151"/>
      <c r="H18" s="152" t="s">
        <v>141</v>
      </c>
      <c r="I18" s="153"/>
    </row>
    <row r="19" ht="32.25" customHeight="1">
      <c r="B19" s="183">
        <v>7.0</v>
      </c>
      <c r="C19" s="157" t="s">
        <v>396</v>
      </c>
      <c r="D19" s="156"/>
      <c r="E19" s="54"/>
      <c r="F19" s="179" t="s">
        <v>141</v>
      </c>
      <c r="G19" s="151"/>
      <c r="H19" s="152"/>
      <c r="I19" s="153"/>
    </row>
    <row r="20" ht="32.25" customHeight="1">
      <c r="B20" s="178">
        <v>8.0</v>
      </c>
      <c r="C20" s="155" t="s">
        <v>397</v>
      </c>
      <c r="D20" s="156"/>
      <c r="E20" s="54"/>
      <c r="F20" s="179" t="s">
        <v>141</v>
      </c>
      <c r="G20" s="151"/>
      <c r="H20" s="152"/>
      <c r="I20" s="153"/>
    </row>
    <row r="21" ht="32.25" customHeight="1">
      <c r="B21" s="178">
        <v>9.0</v>
      </c>
      <c r="C21" s="157" t="s">
        <v>398</v>
      </c>
      <c r="D21" s="156"/>
      <c r="F21" s="179" t="s">
        <v>141</v>
      </c>
      <c r="G21" s="151"/>
      <c r="H21" s="152"/>
      <c r="I21" s="153"/>
    </row>
    <row r="22" ht="32.25" customHeight="1"/>
    <row r="23" ht="32.25" customHeight="1"/>
    <row r="24" ht="32.25" customHeight="1"/>
    <row r="25" ht="32.25" customHeight="1"/>
    <row r="26" ht="32.25" customHeight="1"/>
    <row r="27" ht="32.25" customHeight="1"/>
    <row r="28" ht="32.25" customHeight="1"/>
    <row r="29" ht="32.25" customHeight="1"/>
    <row r="30" ht="32.25" customHeight="1"/>
    <row r="31" ht="32.25" customHeight="1"/>
    <row r="32" ht="32.25" customHeight="1"/>
    <row r="33" ht="32.25" customHeight="1"/>
    <row r="34" ht="32.25" customHeight="1"/>
    <row r="35" ht="32.25" customHeight="1"/>
    <row r="36" ht="32.25" customHeight="1"/>
    <row r="37" ht="32.25" customHeight="1"/>
    <row r="38" ht="32.25" customHeight="1"/>
    <row r="39" ht="32.25" customHeight="1"/>
    <row r="40" ht="32.25" customHeight="1"/>
    <row r="41" ht="32.25" customHeight="1"/>
    <row r="42" ht="32.25" customHeight="1"/>
    <row r="43" ht="32.25" customHeight="1"/>
    <row r="44" ht="32.25" customHeight="1"/>
    <row r="45" ht="32.25" customHeight="1"/>
    <row r="46" ht="32.25" customHeight="1"/>
    <row r="47" ht="32.25" customHeight="1"/>
    <row r="48" ht="32.25" customHeight="1"/>
    <row r="49" ht="32.25" customHeight="1"/>
    <row r="50" ht="32.25" customHeight="1"/>
    <row r="51" ht="32.25" customHeight="1"/>
    <row r="52" ht="32.25" customHeight="1"/>
    <row r="53" ht="32.25" customHeight="1"/>
    <row r="54" ht="32.25" customHeight="1"/>
    <row r="55" ht="32.25" customHeight="1"/>
    <row r="56" ht="32.25" customHeight="1"/>
    <row r="57" ht="32.25" customHeight="1"/>
    <row r="58" ht="32.25" customHeight="1"/>
    <row r="59" ht="32.25" customHeight="1"/>
    <row r="60" ht="32.25" customHeight="1"/>
    <row r="61" ht="32.25" customHeight="1"/>
    <row r="62" ht="32.25" customHeight="1"/>
    <row r="63" ht="32.25" customHeight="1"/>
    <row r="64" ht="32.25" customHeight="1"/>
    <row r="65" ht="32.25" customHeight="1"/>
    <row r="66" ht="32.25" customHeight="1"/>
    <row r="67" ht="32.25" customHeight="1"/>
    <row r="68" ht="32.25" customHeight="1"/>
    <row r="69" ht="32.25" customHeight="1"/>
    <row r="70" ht="32.25" customHeight="1"/>
    <row r="71" ht="32.25" customHeight="1"/>
    <row r="72" ht="32.25" customHeight="1"/>
    <row r="73" ht="32.25" customHeight="1"/>
    <row r="74" ht="32.25" customHeight="1"/>
    <row r="75" ht="32.25" customHeight="1"/>
    <row r="76" ht="32.25" customHeight="1"/>
    <row r="77" ht="32.25" customHeight="1"/>
    <row r="78" ht="32.25" customHeight="1"/>
    <row r="79" ht="32.25" customHeight="1"/>
    <row r="80" ht="32.25" customHeight="1"/>
    <row r="81" ht="32.25" customHeight="1"/>
    <row r="82" ht="32.25" customHeight="1"/>
    <row r="83" ht="32.25" customHeight="1"/>
    <row r="84" ht="32.25" customHeight="1"/>
    <row r="85" ht="32.25" customHeight="1"/>
    <row r="86" ht="32.25" customHeight="1"/>
    <row r="87" ht="32.25" customHeight="1"/>
    <row r="88" ht="32.25" customHeight="1"/>
    <row r="89" ht="32.25" customHeight="1"/>
    <row r="90" ht="32.25" customHeight="1"/>
    <row r="91" ht="32.25" customHeight="1"/>
    <row r="92" ht="32.25" customHeight="1"/>
    <row r="93" ht="32.25" customHeight="1"/>
    <row r="94" ht="32.25" customHeight="1"/>
    <row r="95" ht="32.25" customHeight="1"/>
    <row r="96" ht="32.25" customHeight="1"/>
    <row r="97" ht="32.25" customHeight="1"/>
    <row r="98" ht="32.25" customHeight="1"/>
    <row r="99" ht="32.25" customHeight="1"/>
    <row r="100" ht="32.25" customHeight="1"/>
    <row r="101" ht="32.25" customHeight="1"/>
    <row r="102" ht="32.25" customHeight="1"/>
    <row r="103" ht="32.25" customHeight="1"/>
    <row r="104" ht="32.25" customHeight="1"/>
    <row r="105" ht="32.25" customHeight="1"/>
    <row r="106" ht="32.25" customHeight="1"/>
    <row r="107" ht="32.25" customHeight="1"/>
    <row r="108" ht="32.25" customHeight="1"/>
    <row r="109" ht="32.25" customHeight="1"/>
    <row r="110" ht="32.25" customHeight="1"/>
    <row r="111" ht="32.25" customHeight="1"/>
    <row r="112" ht="32.25" customHeight="1"/>
    <row r="113" ht="32.25" customHeight="1"/>
    <row r="114" ht="32.25" customHeight="1"/>
    <row r="115" ht="32.25" customHeight="1"/>
    <row r="116" ht="32.25" customHeight="1"/>
    <row r="117" ht="32.25" customHeight="1"/>
    <row r="118" ht="32.25" customHeight="1"/>
    <row r="119" ht="32.25" customHeight="1"/>
    <row r="120" ht="32.25" customHeight="1"/>
    <row r="121" ht="32.25" customHeight="1"/>
    <row r="122" ht="32.25" customHeight="1"/>
    <row r="123" ht="32.25" customHeight="1"/>
    <row r="124" ht="32.25" customHeight="1"/>
    <row r="125" ht="32.25" customHeight="1"/>
    <row r="126" ht="32.25" customHeight="1"/>
    <row r="127" ht="32.25" customHeight="1"/>
    <row r="128" ht="32.25" customHeight="1"/>
    <row r="129" ht="32.25" customHeight="1"/>
    <row r="130" ht="32.25" customHeight="1"/>
    <row r="131" ht="32.25" customHeight="1"/>
    <row r="132" ht="32.25" customHeight="1"/>
    <row r="133" ht="32.25" customHeight="1"/>
    <row r="134" ht="32.25" customHeight="1"/>
    <row r="135" ht="32.25" customHeight="1"/>
    <row r="136" ht="32.25" customHeight="1"/>
    <row r="137" ht="32.25" customHeight="1"/>
    <row r="138" ht="32.25" customHeight="1"/>
    <row r="139" ht="32.25" customHeight="1"/>
    <row r="140" ht="32.25" customHeight="1"/>
    <row r="141" ht="32.25" customHeight="1"/>
    <row r="142" ht="32.25" customHeight="1"/>
    <row r="143" ht="32.25" customHeight="1"/>
    <row r="144" ht="32.25" customHeight="1"/>
    <row r="145" ht="32.25" customHeight="1"/>
    <row r="146" ht="32.25" customHeight="1"/>
    <row r="147" ht="32.25" customHeight="1"/>
    <row r="148" ht="32.25" customHeight="1"/>
    <row r="149" ht="32.25" customHeight="1"/>
    <row r="150" ht="32.25" customHeight="1"/>
    <row r="151" ht="32.25" customHeight="1"/>
    <row r="152" ht="32.25" customHeight="1"/>
    <row r="153" ht="32.25" customHeight="1"/>
    <row r="154" ht="32.25" customHeight="1"/>
    <row r="155" ht="32.25" customHeight="1"/>
    <row r="156" ht="32.25" customHeight="1"/>
    <row r="157" ht="32.25" customHeight="1"/>
    <row r="158" ht="32.25" customHeight="1"/>
    <row r="159" ht="32.25" customHeight="1"/>
    <row r="160" ht="32.25" customHeight="1"/>
    <row r="161" ht="32.25" customHeight="1"/>
    <row r="162" ht="32.25" customHeight="1"/>
    <row r="163" ht="32.25" customHeight="1"/>
    <row r="164" ht="32.25" customHeight="1"/>
    <row r="165" ht="32.25" customHeight="1"/>
    <row r="166" ht="32.25" customHeight="1"/>
    <row r="167" ht="32.25" customHeight="1"/>
    <row r="168" ht="32.25" customHeight="1"/>
    <row r="169" ht="32.25" customHeight="1"/>
    <row r="170" ht="32.25" customHeight="1"/>
    <row r="171" ht="32.25" customHeight="1"/>
    <row r="172" ht="32.25" customHeight="1"/>
    <row r="173" ht="32.25" customHeight="1"/>
    <row r="174" ht="32.25" customHeight="1"/>
    <row r="175" ht="32.25" customHeight="1"/>
    <row r="176" ht="32.25" customHeight="1"/>
    <row r="177" ht="32.25" customHeight="1"/>
    <row r="178" ht="32.25" customHeight="1"/>
    <row r="179" ht="32.25" customHeight="1"/>
    <row r="180" ht="32.25" customHeight="1"/>
    <row r="181" ht="32.25" customHeight="1"/>
    <row r="182" ht="32.25" customHeight="1"/>
    <row r="183" ht="32.25" customHeight="1"/>
    <row r="184" ht="32.25" customHeight="1"/>
    <row r="185" ht="32.25" customHeight="1"/>
    <row r="186" ht="32.25" customHeight="1"/>
    <row r="187" ht="32.25" customHeight="1"/>
    <row r="188" ht="32.25" customHeight="1"/>
    <row r="189" ht="32.25" customHeight="1"/>
    <row r="190" ht="32.25" customHeight="1"/>
    <row r="191" ht="32.25" customHeight="1"/>
    <row r="192" ht="32.25" customHeight="1"/>
    <row r="193" ht="32.25" customHeight="1"/>
    <row r="194" ht="32.25" customHeight="1"/>
    <row r="195" ht="32.25" customHeight="1"/>
    <row r="196" ht="32.25" customHeight="1"/>
    <row r="197" ht="32.25" customHeight="1"/>
    <row r="198" ht="32.25" customHeight="1"/>
    <row r="199" ht="32.25" customHeight="1"/>
    <row r="200" ht="32.25" customHeight="1"/>
    <row r="201" ht="32.25" customHeight="1"/>
    <row r="202" ht="32.25" customHeight="1"/>
    <row r="203" ht="32.25" customHeight="1"/>
    <row r="204" ht="32.25" customHeight="1"/>
    <row r="205" ht="32.25" customHeight="1"/>
    <row r="206" ht="32.25" customHeight="1"/>
    <row r="207" ht="32.25" customHeight="1"/>
    <row r="208" ht="32.25" customHeight="1"/>
    <row r="209" ht="32.25" customHeight="1"/>
    <row r="210" ht="32.25" customHeight="1"/>
    <row r="211" ht="32.25" customHeight="1"/>
    <row r="212" ht="32.25" customHeight="1"/>
    <row r="213" ht="32.25" customHeight="1"/>
    <row r="214" ht="32.25" customHeight="1"/>
    <row r="215" ht="32.25" customHeight="1"/>
    <row r="216" ht="32.25" customHeight="1"/>
    <row r="217" ht="32.25" customHeight="1"/>
    <row r="218" ht="32.25" customHeight="1"/>
    <row r="219" ht="32.25" customHeight="1"/>
    <row r="220" ht="32.25" customHeight="1"/>
    <row r="221" ht="32.25" customHeight="1"/>
    <row r="222" ht="32.25" customHeight="1"/>
    <row r="223" ht="32.25" customHeight="1"/>
    <row r="224" ht="32.25" customHeight="1"/>
    <row r="225" ht="32.25" customHeight="1"/>
    <row r="226" ht="32.25" customHeight="1"/>
    <row r="227" ht="32.25" customHeight="1"/>
    <row r="228" ht="32.25" customHeight="1"/>
    <row r="229" ht="32.25" customHeight="1"/>
    <row r="230" ht="32.25" customHeight="1"/>
    <row r="231" ht="32.25" customHeight="1"/>
    <row r="232" ht="32.25" customHeight="1"/>
    <row r="233" ht="32.25" customHeight="1"/>
    <row r="234" ht="32.25" customHeight="1"/>
    <row r="235" ht="32.25" customHeight="1"/>
    <row r="236" ht="32.25" customHeight="1"/>
    <row r="237" ht="32.25" customHeight="1"/>
    <row r="238" ht="32.25" customHeight="1"/>
    <row r="239" ht="32.25" customHeight="1"/>
    <row r="240" ht="32.25" customHeight="1"/>
    <row r="241" ht="32.25" customHeight="1"/>
    <row r="242" ht="32.25" customHeight="1"/>
    <row r="243" ht="32.25" customHeight="1"/>
    <row r="244" ht="32.25" customHeight="1"/>
    <row r="245" ht="32.25" customHeight="1"/>
    <row r="246" ht="32.25" customHeight="1"/>
    <row r="247" ht="32.25" customHeight="1"/>
    <row r="248" ht="32.25" customHeight="1"/>
    <row r="249" ht="32.25" customHeight="1"/>
    <row r="250" ht="32.25" customHeight="1"/>
    <row r="251" ht="32.25" customHeight="1"/>
    <row r="252" ht="32.25" customHeight="1"/>
    <row r="253" ht="32.25" customHeight="1"/>
    <row r="254" ht="32.25" customHeight="1"/>
    <row r="255" ht="32.25" customHeight="1"/>
    <row r="256" ht="32.25" customHeight="1"/>
    <row r="257" ht="32.25" customHeight="1"/>
    <row r="258" ht="32.25" customHeight="1"/>
    <row r="259" ht="32.25" customHeight="1"/>
    <row r="260" ht="32.25" customHeight="1"/>
    <row r="261" ht="32.25" customHeight="1"/>
    <row r="262" ht="32.25" customHeight="1"/>
    <row r="263" ht="32.25" customHeight="1"/>
    <row r="264" ht="32.25" customHeight="1"/>
    <row r="265" ht="32.25" customHeight="1"/>
    <row r="266" ht="32.25" customHeight="1"/>
    <row r="267" ht="32.25" customHeight="1"/>
    <row r="268" ht="32.25" customHeight="1"/>
    <row r="269" ht="32.25" customHeight="1"/>
    <row r="270" ht="32.25" customHeight="1"/>
    <row r="271" ht="32.25" customHeight="1"/>
    <row r="272" ht="32.25" customHeight="1"/>
    <row r="273" ht="32.25" customHeight="1"/>
    <row r="274" ht="32.25" customHeight="1"/>
    <row r="275" ht="32.25" customHeight="1"/>
    <row r="276" ht="32.25" customHeight="1"/>
    <row r="277" ht="32.25" customHeight="1"/>
    <row r="278" ht="32.25" customHeight="1"/>
    <row r="279" ht="32.25" customHeight="1"/>
    <row r="280" ht="32.25" customHeight="1"/>
    <row r="281" ht="32.25" customHeight="1"/>
    <row r="282" ht="32.25" customHeight="1"/>
    <row r="283" ht="32.25" customHeight="1"/>
    <row r="284" ht="32.25" customHeight="1"/>
    <row r="285" ht="32.25" customHeight="1"/>
    <row r="286" ht="32.25" customHeight="1"/>
    <row r="287" ht="32.25" customHeight="1"/>
    <row r="288" ht="32.25" customHeight="1"/>
    <row r="289" ht="32.25" customHeight="1"/>
    <row r="290" ht="32.25" customHeight="1"/>
    <row r="291" ht="32.25" customHeight="1"/>
    <row r="292" ht="32.25" customHeight="1"/>
    <row r="293" ht="32.25" customHeight="1"/>
    <row r="294" ht="32.25" customHeight="1"/>
    <row r="295" ht="32.25" customHeight="1"/>
    <row r="296" ht="32.25" customHeight="1"/>
    <row r="297" ht="32.25" customHeight="1"/>
    <row r="298" ht="32.25" customHeight="1"/>
    <row r="299" ht="32.25" customHeight="1"/>
    <row r="300" ht="32.25" customHeight="1"/>
    <row r="301" ht="32.25" customHeight="1"/>
    <row r="302" ht="32.25" customHeight="1"/>
    <row r="303" ht="32.25" customHeight="1"/>
    <row r="304" ht="32.25" customHeight="1"/>
    <row r="305" ht="32.25" customHeight="1"/>
    <row r="306" ht="32.25" customHeight="1"/>
    <row r="307" ht="32.25" customHeight="1"/>
    <row r="308" ht="32.25" customHeight="1"/>
    <row r="309" ht="32.25" customHeight="1"/>
    <row r="310" ht="32.25" customHeight="1"/>
    <row r="311" ht="32.25" customHeight="1"/>
    <row r="312" ht="32.25" customHeight="1"/>
    <row r="313" ht="32.25" customHeight="1"/>
    <row r="314" ht="32.25" customHeight="1"/>
    <row r="315" ht="32.25" customHeight="1"/>
    <row r="316" ht="32.25" customHeight="1"/>
    <row r="317" ht="32.25" customHeight="1"/>
    <row r="318" ht="32.25" customHeight="1"/>
    <row r="319" ht="32.25" customHeight="1"/>
    <row r="320" ht="32.25" customHeight="1"/>
    <row r="321" ht="32.25" customHeight="1"/>
    <row r="322" ht="32.25" customHeight="1"/>
    <row r="323" ht="32.25" customHeight="1"/>
    <row r="324" ht="32.25" customHeight="1"/>
    <row r="325" ht="32.25" customHeight="1"/>
    <row r="326" ht="32.25" customHeight="1"/>
    <row r="327" ht="32.25" customHeight="1"/>
    <row r="328" ht="32.25" customHeight="1"/>
    <row r="329" ht="32.25" customHeight="1"/>
    <row r="330" ht="32.25" customHeight="1"/>
    <row r="331" ht="32.25" customHeight="1"/>
    <row r="332" ht="32.25" customHeight="1"/>
    <row r="333" ht="32.25" customHeight="1"/>
    <row r="334" ht="32.25" customHeight="1"/>
    <row r="335" ht="32.25" customHeight="1"/>
    <row r="336" ht="32.25" customHeight="1"/>
    <row r="337" ht="32.25" customHeight="1"/>
    <row r="338" ht="32.25" customHeight="1"/>
    <row r="339" ht="32.25" customHeight="1"/>
    <row r="340" ht="32.25" customHeight="1"/>
    <row r="341" ht="32.25" customHeight="1"/>
    <row r="342" ht="32.25" customHeight="1"/>
    <row r="343" ht="32.25" customHeight="1"/>
    <row r="344" ht="32.25" customHeight="1"/>
    <row r="345" ht="32.25" customHeight="1"/>
    <row r="346" ht="32.25" customHeight="1"/>
    <row r="347" ht="32.25" customHeight="1"/>
    <row r="348" ht="32.25" customHeight="1"/>
    <row r="349" ht="32.25" customHeight="1"/>
    <row r="350" ht="32.25" customHeight="1"/>
    <row r="351" ht="32.25" customHeight="1"/>
    <row r="352" ht="32.25" customHeight="1"/>
    <row r="353" ht="32.25" customHeight="1"/>
    <row r="354" ht="32.25" customHeight="1"/>
    <row r="355" ht="32.25" customHeight="1"/>
    <row r="356" ht="32.25" customHeight="1"/>
    <row r="357" ht="32.25" customHeight="1"/>
    <row r="358" ht="32.25" customHeight="1"/>
    <row r="359" ht="32.25" customHeight="1"/>
    <row r="360" ht="32.25" customHeight="1"/>
    <row r="361" ht="32.25" customHeight="1"/>
    <row r="362" ht="32.25" customHeight="1"/>
    <row r="363" ht="32.25" customHeight="1"/>
    <row r="364" ht="32.25" customHeight="1"/>
    <row r="365" ht="32.25" customHeight="1"/>
    <row r="366" ht="32.25" customHeight="1"/>
    <row r="367" ht="32.25" customHeight="1"/>
    <row r="368" ht="32.25" customHeight="1"/>
    <row r="369" ht="32.25" customHeight="1"/>
    <row r="370" ht="32.25" customHeight="1"/>
    <row r="371" ht="32.25" customHeight="1"/>
    <row r="372" ht="32.25" customHeight="1"/>
    <row r="373" ht="32.25" customHeight="1"/>
    <row r="374" ht="32.25" customHeight="1"/>
    <row r="375" ht="32.25" customHeight="1"/>
    <row r="376" ht="32.25" customHeight="1"/>
    <row r="377" ht="32.25" customHeight="1"/>
    <row r="378" ht="32.25" customHeight="1"/>
    <row r="379" ht="32.25" customHeight="1"/>
    <row r="380" ht="32.25" customHeight="1"/>
    <row r="381" ht="32.25" customHeight="1"/>
    <row r="382" ht="32.25" customHeight="1"/>
    <row r="383" ht="32.25" customHeight="1"/>
    <row r="384" ht="32.25" customHeight="1"/>
    <row r="385" ht="32.25" customHeight="1"/>
    <row r="386" ht="32.25" customHeight="1"/>
    <row r="387" ht="32.25" customHeight="1"/>
    <row r="388" ht="32.25" customHeight="1"/>
    <row r="389" ht="32.25" customHeight="1"/>
    <row r="390" ht="32.25" customHeight="1"/>
    <row r="391" ht="32.25" customHeight="1"/>
    <row r="392" ht="32.25" customHeight="1"/>
    <row r="393" ht="32.25" customHeight="1"/>
    <row r="394" ht="32.25" customHeight="1"/>
    <row r="395" ht="32.25" customHeight="1"/>
    <row r="396" ht="32.25" customHeight="1"/>
    <row r="397" ht="32.25" customHeight="1"/>
    <row r="398" ht="32.25" customHeight="1"/>
    <row r="399" ht="32.25" customHeight="1"/>
    <row r="400" ht="32.25" customHeight="1"/>
    <row r="401" ht="32.25" customHeight="1"/>
    <row r="402" ht="32.25" customHeight="1"/>
    <row r="403" ht="32.25" customHeight="1"/>
    <row r="404" ht="32.25" customHeight="1"/>
    <row r="405" ht="32.25" customHeight="1"/>
    <row r="406" ht="32.25" customHeight="1"/>
    <row r="407" ht="32.25" customHeight="1"/>
    <row r="408" ht="32.25" customHeight="1"/>
    <row r="409" ht="32.25" customHeight="1"/>
    <row r="410" ht="32.25" customHeight="1"/>
    <row r="411" ht="32.25" customHeight="1"/>
    <row r="412" ht="32.25" customHeight="1"/>
    <row r="413" ht="32.25" customHeight="1"/>
    <row r="414" ht="32.25" customHeight="1"/>
    <row r="415" ht="32.25" customHeight="1"/>
    <row r="416" ht="32.25" customHeight="1"/>
    <row r="417" ht="32.25" customHeight="1"/>
    <row r="418" ht="32.25" customHeight="1"/>
    <row r="419" ht="32.25" customHeight="1"/>
    <row r="420" ht="32.25" customHeight="1"/>
    <row r="421" ht="32.25" customHeight="1"/>
    <row r="422" ht="32.25" customHeight="1"/>
    <row r="423" ht="32.25" customHeight="1"/>
    <row r="424" ht="32.25" customHeight="1"/>
    <row r="425" ht="32.25" customHeight="1"/>
    <row r="426" ht="32.25" customHeight="1"/>
    <row r="427" ht="32.25" customHeight="1"/>
    <row r="428" ht="32.25" customHeight="1"/>
    <row r="429" ht="32.25" customHeight="1"/>
    <row r="430" ht="32.25" customHeight="1"/>
    <row r="431" ht="32.25" customHeight="1"/>
    <row r="432" ht="32.25" customHeight="1"/>
    <row r="433" ht="32.25" customHeight="1"/>
    <row r="434" ht="32.25" customHeight="1"/>
    <row r="435" ht="32.25" customHeight="1"/>
    <row r="436" ht="32.25" customHeight="1"/>
    <row r="437" ht="32.25" customHeight="1"/>
    <row r="438" ht="32.25" customHeight="1"/>
    <row r="439" ht="32.25" customHeight="1"/>
    <row r="440" ht="32.25" customHeight="1"/>
    <row r="441" ht="32.25" customHeight="1"/>
    <row r="442" ht="32.25" customHeight="1"/>
    <row r="443" ht="32.25" customHeight="1"/>
    <row r="444" ht="32.25" customHeight="1"/>
    <row r="445" ht="32.25" customHeight="1"/>
    <row r="446" ht="32.25" customHeight="1"/>
    <row r="447" ht="32.25" customHeight="1"/>
    <row r="448" ht="32.25" customHeight="1"/>
    <row r="449" ht="32.25" customHeight="1"/>
    <row r="450" ht="32.25" customHeight="1"/>
    <row r="451" ht="32.25" customHeight="1"/>
    <row r="452" ht="32.25" customHeight="1"/>
    <row r="453" ht="32.25" customHeight="1"/>
    <row r="454" ht="32.25" customHeight="1"/>
    <row r="455" ht="32.25" customHeight="1"/>
    <row r="456" ht="32.25" customHeight="1"/>
    <row r="457" ht="32.25" customHeight="1"/>
    <row r="458" ht="32.25" customHeight="1"/>
    <row r="459" ht="32.25" customHeight="1"/>
    <row r="460" ht="32.25" customHeight="1"/>
    <row r="461" ht="32.25" customHeight="1"/>
    <row r="462" ht="32.25" customHeight="1"/>
    <row r="463" ht="32.25" customHeight="1"/>
    <row r="464" ht="32.25" customHeight="1"/>
    <row r="465" ht="32.25" customHeight="1"/>
    <row r="466" ht="32.25" customHeight="1"/>
    <row r="467" ht="32.25" customHeight="1"/>
    <row r="468" ht="32.25" customHeight="1"/>
    <row r="469" ht="32.25" customHeight="1"/>
    <row r="470" ht="32.25" customHeight="1"/>
    <row r="471" ht="32.25" customHeight="1"/>
    <row r="472" ht="32.25" customHeight="1"/>
    <row r="473" ht="32.25" customHeight="1"/>
    <row r="474" ht="32.25" customHeight="1"/>
    <row r="475" ht="32.25" customHeight="1"/>
    <row r="476" ht="32.25" customHeight="1"/>
    <row r="477" ht="32.25" customHeight="1"/>
    <row r="478" ht="32.25" customHeight="1"/>
    <row r="479" ht="32.25" customHeight="1"/>
    <row r="480" ht="32.25" customHeight="1"/>
    <row r="481" ht="32.25" customHeight="1"/>
    <row r="482" ht="32.25" customHeight="1"/>
    <row r="483" ht="32.25" customHeight="1"/>
    <row r="484" ht="32.25" customHeight="1"/>
    <row r="485" ht="32.25" customHeight="1"/>
    <row r="486" ht="32.25" customHeight="1"/>
    <row r="487" ht="32.25" customHeight="1"/>
    <row r="488" ht="32.25" customHeight="1"/>
    <row r="489" ht="32.25" customHeight="1"/>
    <row r="490" ht="32.25" customHeight="1"/>
    <row r="491" ht="32.25" customHeight="1"/>
    <row r="492" ht="32.25" customHeight="1"/>
    <row r="493" ht="32.25" customHeight="1"/>
    <row r="494" ht="32.25" customHeight="1"/>
    <row r="495" ht="32.25" customHeight="1"/>
    <row r="496" ht="32.25" customHeight="1"/>
    <row r="497" ht="32.25" customHeight="1"/>
    <row r="498" ht="32.25" customHeight="1"/>
    <row r="499" ht="32.25" customHeight="1"/>
    <row r="500" ht="32.25" customHeight="1"/>
    <row r="501" ht="32.25" customHeight="1"/>
    <row r="502" ht="32.25" customHeight="1"/>
    <row r="503" ht="32.25" customHeight="1"/>
    <row r="504" ht="32.25" customHeight="1"/>
    <row r="505" ht="32.25" customHeight="1"/>
    <row r="506" ht="32.25" customHeight="1"/>
    <row r="507" ht="32.25" customHeight="1"/>
    <row r="508" ht="32.25" customHeight="1"/>
    <row r="509" ht="32.25" customHeight="1"/>
    <row r="510" ht="32.25" customHeight="1"/>
    <row r="511" ht="32.25" customHeight="1"/>
    <row r="512" ht="32.25" customHeight="1"/>
    <row r="513" ht="32.25" customHeight="1"/>
    <row r="514" ht="32.25" customHeight="1"/>
    <row r="515" ht="32.25" customHeight="1"/>
    <row r="516" ht="32.25" customHeight="1"/>
    <row r="517" ht="32.25" customHeight="1"/>
    <row r="518" ht="32.25" customHeight="1"/>
    <row r="519" ht="32.25" customHeight="1"/>
    <row r="520" ht="32.25" customHeight="1"/>
    <row r="521" ht="32.25" customHeight="1"/>
    <row r="522" ht="32.25" customHeight="1"/>
    <row r="523" ht="32.25" customHeight="1"/>
    <row r="524" ht="32.25" customHeight="1"/>
    <row r="525" ht="32.25" customHeight="1"/>
    <row r="526" ht="32.25" customHeight="1"/>
    <row r="527" ht="32.25" customHeight="1"/>
    <row r="528" ht="32.25" customHeight="1"/>
    <row r="529" ht="32.25" customHeight="1"/>
    <row r="530" ht="32.25" customHeight="1"/>
    <row r="531" ht="32.25" customHeight="1"/>
    <row r="532" ht="32.25" customHeight="1"/>
    <row r="533" ht="32.25" customHeight="1"/>
    <row r="534" ht="32.25" customHeight="1"/>
    <row r="535" ht="32.25" customHeight="1"/>
    <row r="536" ht="32.25" customHeight="1"/>
    <row r="537" ht="32.25" customHeight="1"/>
    <row r="538" ht="32.25" customHeight="1"/>
    <row r="539" ht="32.25" customHeight="1"/>
    <row r="540" ht="32.25" customHeight="1"/>
    <row r="541" ht="32.25" customHeight="1"/>
    <row r="542" ht="32.25" customHeight="1"/>
    <row r="543" ht="32.25" customHeight="1"/>
    <row r="544" ht="32.25" customHeight="1"/>
    <row r="545" ht="32.25" customHeight="1"/>
    <row r="546" ht="32.25" customHeight="1"/>
    <row r="547" ht="32.25" customHeight="1"/>
    <row r="548" ht="32.25" customHeight="1"/>
    <row r="549" ht="32.25" customHeight="1"/>
    <row r="550" ht="32.25" customHeight="1"/>
    <row r="551" ht="32.25" customHeight="1"/>
    <row r="552" ht="32.25" customHeight="1"/>
    <row r="553" ht="32.25" customHeight="1"/>
    <row r="554" ht="32.25" customHeight="1"/>
    <row r="555" ht="32.25" customHeight="1"/>
    <row r="556" ht="32.25" customHeight="1"/>
    <row r="557" ht="32.25" customHeight="1"/>
    <row r="558" ht="32.25" customHeight="1"/>
    <row r="559" ht="32.25" customHeight="1"/>
    <row r="560" ht="32.25" customHeight="1"/>
    <row r="561" ht="32.25" customHeight="1"/>
    <row r="562" ht="32.25" customHeight="1"/>
    <row r="563" ht="32.25" customHeight="1"/>
    <row r="564" ht="32.25" customHeight="1"/>
    <row r="565" ht="32.25" customHeight="1"/>
    <row r="566" ht="32.25" customHeight="1"/>
    <row r="567" ht="32.25" customHeight="1"/>
    <row r="568" ht="32.25" customHeight="1"/>
    <row r="569" ht="32.25" customHeight="1"/>
    <row r="570" ht="32.25" customHeight="1"/>
    <row r="571" ht="32.25" customHeight="1"/>
    <row r="572" ht="32.25" customHeight="1"/>
    <row r="573" ht="32.25" customHeight="1"/>
    <row r="574" ht="32.25" customHeight="1"/>
    <row r="575" ht="32.25" customHeight="1"/>
    <row r="576" ht="32.25" customHeight="1"/>
    <row r="577" ht="32.25" customHeight="1"/>
    <row r="578" ht="32.25" customHeight="1"/>
    <row r="579" ht="32.25" customHeight="1"/>
    <row r="580" ht="32.25" customHeight="1"/>
    <row r="581" ht="32.25" customHeight="1"/>
    <row r="582" ht="32.25" customHeight="1"/>
    <row r="583" ht="32.25" customHeight="1"/>
    <row r="584" ht="32.25" customHeight="1"/>
    <row r="585" ht="32.25" customHeight="1"/>
    <row r="586" ht="32.25" customHeight="1"/>
    <row r="587" ht="32.25" customHeight="1"/>
    <row r="588" ht="32.25" customHeight="1"/>
    <row r="589" ht="32.25" customHeight="1"/>
    <row r="590" ht="32.25" customHeight="1"/>
    <row r="591" ht="32.25" customHeight="1"/>
    <row r="592" ht="32.25" customHeight="1"/>
    <row r="593" ht="32.25" customHeight="1"/>
    <row r="594" ht="32.25" customHeight="1"/>
    <row r="595" ht="32.25" customHeight="1"/>
    <row r="596" ht="32.25" customHeight="1"/>
    <row r="597" ht="32.25" customHeight="1"/>
    <row r="598" ht="32.25" customHeight="1"/>
    <row r="599" ht="32.25" customHeight="1"/>
    <row r="600" ht="32.25" customHeight="1"/>
    <row r="601" ht="32.25" customHeight="1"/>
    <row r="602" ht="32.25" customHeight="1"/>
    <row r="603" ht="32.25" customHeight="1"/>
    <row r="604" ht="32.25" customHeight="1"/>
    <row r="605" ht="32.25" customHeight="1"/>
    <row r="606" ht="32.25" customHeight="1"/>
    <row r="607" ht="32.25" customHeight="1"/>
    <row r="608" ht="32.25" customHeight="1"/>
    <row r="609" ht="32.25" customHeight="1"/>
    <row r="610" ht="32.25" customHeight="1"/>
    <row r="611" ht="32.25" customHeight="1"/>
    <row r="612" ht="32.25" customHeight="1"/>
    <row r="613" ht="32.25" customHeight="1"/>
    <row r="614" ht="32.25" customHeight="1"/>
    <row r="615" ht="32.25" customHeight="1"/>
    <row r="616" ht="32.25" customHeight="1"/>
    <row r="617" ht="32.25" customHeight="1"/>
    <row r="618" ht="32.25" customHeight="1"/>
    <row r="619" ht="32.25" customHeight="1"/>
    <row r="620" ht="32.25" customHeight="1"/>
    <row r="621" ht="32.25" customHeight="1"/>
    <row r="622" ht="32.25" customHeight="1"/>
    <row r="623" ht="32.25" customHeight="1"/>
    <row r="624" ht="32.25" customHeight="1"/>
    <row r="625" ht="32.25" customHeight="1"/>
    <row r="626" ht="32.25" customHeight="1"/>
    <row r="627" ht="32.25" customHeight="1"/>
    <row r="628" ht="32.25" customHeight="1"/>
    <row r="629" ht="32.25" customHeight="1"/>
    <row r="630" ht="32.25" customHeight="1"/>
    <row r="631" ht="32.25" customHeight="1"/>
    <row r="632" ht="32.25" customHeight="1"/>
    <row r="633" ht="32.25" customHeight="1"/>
    <row r="634" ht="32.25" customHeight="1"/>
    <row r="635" ht="32.25" customHeight="1"/>
    <row r="636" ht="32.25" customHeight="1"/>
    <row r="637" ht="32.25" customHeight="1"/>
    <row r="638" ht="32.25" customHeight="1"/>
    <row r="639" ht="32.25" customHeight="1"/>
    <row r="640" ht="32.25" customHeight="1"/>
    <row r="641" ht="32.25" customHeight="1"/>
    <row r="642" ht="32.25" customHeight="1"/>
    <row r="643" ht="32.25" customHeight="1"/>
    <row r="644" ht="32.25" customHeight="1"/>
    <row r="645" ht="32.25" customHeight="1"/>
    <row r="646" ht="32.25" customHeight="1"/>
    <row r="647" ht="32.25" customHeight="1"/>
    <row r="648" ht="32.25" customHeight="1"/>
    <row r="649" ht="32.25" customHeight="1"/>
    <row r="650" ht="32.25" customHeight="1"/>
    <row r="651" ht="32.25" customHeight="1"/>
    <row r="652" ht="32.25" customHeight="1"/>
    <row r="653" ht="32.25" customHeight="1"/>
    <row r="654" ht="32.25" customHeight="1"/>
    <row r="655" ht="32.25" customHeight="1"/>
    <row r="656" ht="32.25" customHeight="1"/>
    <row r="657" ht="32.25" customHeight="1"/>
    <row r="658" ht="32.25" customHeight="1"/>
    <row r="659" ht="32.25" customHeight="1"/>
    <row r="660" ht="32.25" customHeight="1"/>
    <row r="661" ht="32.25" customHeight="1"/>
    <row r="662" ht="32.25" customHeight="1"/>
    <row r="663" ht="32.25" customHeight="1"/>
    <row r="664" ht="32.25" customHeight="1"/>
    <row r="665" ht="32.25" customHeight="1"/>
    <row r="666" ht="32.25" customHeight="1"/>
    <row r="667" ht="32.25" customHeight="1"/>
    <row r="668" ht="32.25" customHeight="1"/>
    <row r="669" ht="32.25" customHeight="1"/>
    <row r="670" ht="32.25" customHeight="1"/>
    <row r="671" ht="32.25" customHeight="1"/>
    <row r="672" ht="32.25" customHeight="1"/>
    <row r="673" ht="32.25" customHeight="1"/>
    <row r="674" ht="32.25" customHeight="1"/>
    <row r="675" ht="32.25" customHeight="1"/>
    <row r="676" ht="32.25" customHeight="1"/>
    <row r="677" ht="32.25" customHeight="1"/>
    <row r="678" ht="32.25" customHeight="1"/>
    <row r="679" ht="32.25" customHeight="1"/>
    <row r="680" ht="32.25" customHeight="1"/>
    <row r="681" ht="32.25" customHeight="1"/>
    <row r="682" ht="32.25" customHeight="1"/>
    <row r="683" ht="32.25" customHeight="1"/>
    <row r="684" ht="32.25" customHeight="1"/>
    <row r="685" ht="32.25" customHeight="1"/>
    <row r="686" ht="32.25" customHeight="1"/>
    <row r="687" ht="32.25" customHeight="1"/>
    <row r="688" ht="32.25" customHeight="1"/>
    <row r="689" ht="32.25" customHeight="1"/>
    <row r="690" ht="32.25" customHeight="1"/>
    <row r="691" ht="32.25" customHeight="1"/>
    <row r="692" ht="32.25" customHeight="1"/>
    <row r="693" ht="32.25" customHeight="1"/>
    <row r="694" ht="32.25" customHeight="1"/>
    <row r="695" ht="32.25" customHeight="1"/>
    <row r="696" ht="32.25" customHeight="1"/>
    <row r="697" ht="32.25" customHeight="1"/>
    <row r="698" ht="32.25" customHeight="1"/>
    <row r="699" ht="32.25" customHeight="1"/>
    <row r="700" ht="32.25" customHeight="1"/>
    <row r="701" ht="32.25" customHeight="1"/>
    <row r="702" ht="32.25" customHeight="1"/>
    <row r="703" ht="32.25" customHeight="1"/>
    <row r="704" ht="32.25" customHeight="1"/>
    <row r="705" ht="32.25" customHeight="1"/>
    <row r="706" ht="32.25" customHeight="1"/>
    <row r="707" ht="32.25" customHeight="1"/>
    <row r="708" ht="32.25" customHeight="1"/>
    <row r="709" ht="32.25" customHeight="1"/>
    <row r="710" ht="32.25" customHeight="1"/>
    <row r="711" ht="32.25" customHeight="1"/>
    <row r="712" ht="32.25" customHeight="1"/>
    <row r="713" ht="32.25" customHeight="1"/>
    <row r="714" ht="32.25" customHeight="1"/>
    <row r="715" ht="32.25" customHeight="1"/>
    <row r="716" ht="32.25" customHeight="1"/>
    <row r="717" ht="32.25" customHeight="1"/>
    <row r="718" ht="32.25" customHeight="1"/>
    <row r="719" ht="32.25" customHeight="1"/>
    <row r="720" ht="32.25" customHeight="1"/>
    <row r="721" ht="32.25" customHeight="1"/>
    <row r="722" ht="32.25" customHeight="1"/>
    <row r="723" ht="32.25" customHeight="1"/>
    <row r="724" ht="32.25" customHeight="1"/>
    <row r="725" ht="32.25" customHeight="1"/>
    <row r="726" ht="32.25" customHeight="1"/>
    <row r="727" ht="32.25" customHeight="1"/>
    <row r="728" ht="32.25" customHeight="1"/>
    <row r="729" ht="32.25" customHeight="1"/>
    <row r="730" ht="32.25" customHeight="1"/>
    <row r="731" ht="32.25" customHeight="1"/>
    <row r="732" ht="32.25" customHeight="1"/>
    <row r="733" ht="32.25" customHeight="1"/>
    <row r="734" ht="32.25" customHeight="1"/>
    <row r="735" ht="32.25" customHeight="1"/>
    <row r="736" ht="32.25" customHeight="1"/>
    <row r="737" ht="32.25" customHeight="1"/>
    <row r="738" ht="32.25" customHeight="1"/>
    <row r="739" ht="32.25" customHeight="1"/>
    <row r="740" ht="32.25" customHeight="1"/>
    <row r="741" ht="32.25" customHeight="1"/>
    <row r="742" ht="32.25" customHeight="1"/>
    <row r="743" ht="32.25" customHeight="1"/>
    <row r="744" ht="32.25" customHeight="1"/>
    <row r="745" ht="32.25" customHeight="1"/>
    <row r="746" ht="32.25" customHeight="1"/>
    <row r="747" ht="32.25" customHeight="1"/>
    <row r="748" ht="32.25" customHeight="1"/>
    <row r="749" ht="32.25" customHeight="1"/>
    <row r="750" ht="32.25" customHeight="1"/>
    <row r="751" ht="32.25" customHeight="1"/>
    <row r="752" ht="32.25" customHeight="1"/>
    <row r="753" ht="32.25" customHeight="1"/>
    <row r="754" ht="32.25" customHeight="1"/>
    <row r="755" ht="32.25" customHeight="1"/>
    <row r="756" ht="32.25" customHeight="1"/>
    <row r="757" ht="32.25" customHeight="1"/>
    <row r="758" ht="32.25" customHeight="1"/>
    <row r="759" ht="32.25" customHeight="1"/>
    <row r="760" ht="32.25" customHeight="1"/>
    <row r="761" ht="32.25" customHeight="1"/>
    <row r="762" ht="32.25" customHeight="1"/>
    <row r="763" ht="32.25" customHeight="1"/>
    <row r="764" ht="32.25" customHeight="1"/>
    <row r="765" ht="32.25" customHeight="1"/>
    <row r="766" ht="32.25" customHeight="1"/>
    <row r="767" ht="32.25" customHeight="1"/>
    <row r="768" ht="32.25" customHeight="1"/>
    <row r="769" ht="32.25" customHeight="1"/>
    <row r="770" ht="32.25" customHeight="1"/>
    <row r="771" ht="32.25" customHeight="1"/>
    <row r="772" ht="32.25" customHeight="1"/>
    <row r="773" ht="32.25" customHeight="1"/>
    <row r="774" ht="32.25" customHeight="1"/>
    <row r="775" ht="32.25" customHeight="1"/>
    <row r="776" ht="32.25" customHeight="1"/>
    <row r="777" ht="32.25" customHeight="1"/>
    <row r="778" ht="32.25" customHeight="1"/>
    <row r="779" ht="32.25" customHeight="1"/>
    <row r="780" ht="32.25" customHeight="1"/>
    <row r="781" ht="32.25" customHeight="1"/>
    <row r="782" ht="32.25" customHeight="1"/>
    <row r="783" ht="32.25" customHeight="1"/>
    <row r="784" ht="32.25" customHeight="1"/>
    <row r="785" ht="32.25" customHeight="1"/>
    <row r="786" ht="32.25" customHeight="1"/>
    <row r="787" ht="32.25" customHeight="1"/>
    <row r="788" ht="32.25" customHeight="1"/>
    <row r="789" ht="32.25" customHeight="1"/>
    <row r="790" ht="32.25" customHeight="1"/>
    <row r="791" ht="32.25" customHeight="1"/>
    <row r="792" ht="32.25" customHeight="1"/>
    <row r="793" ht="32.25" customHeight="1"/>
    <row r="794" ht="32.25" customHeight="1"/>
    <row r="795" ht="32.25" customHeight="1"/>
    <row r="796" ht="32.25" customHeight="1"/>
    <row r="797" ht="32.25" customHeight="1"/>
    <row r="798" ht="32.25" customHeight="1"/>
    <row r="799" ht="32.25" customHeight="1"/>
    <row r="800" ht="32.25" customHeight="1"/>
    <row r="801" ht="32.25" customHeight="1"/>
    <row r="802" ht="32.25" customHeight="1"/>
    <row r="803" ht="32.25" customHeight="1"/>
    <row r="804" ht="32.25" customHeight="1"/>
    <row r="805" ht="32.25" customHeight="1"/>
    <row r="806" ht="32.25" customHeight="1"/>
    <row r="807" ht="32.25" customHeight="1"/>
    <row r="808" ht="32.25" customHeight="1"/>
    <row r="809" ht="32.25" customHeight="1"/>
    <row r="810" ht="32.25" customHeight="1"/>
    <row r="811" ht="32.25" customHeight="1"/>
    <row r="812" ht="32.25" customHeight="1"/>
    <row r="813" ht="32.25" customHeight="1"/>
    <row r="814" ht="32.25" customHeight="1"/>
    <row r="815" ht="32.25" customHeight="1"/>
    <row r="816" ht="32.25" customHeight="1"/>
    <row r="817" ht="32.25" customHeight="1"/>
    <row r="818" ht="32.25" customHeight="1"/>
    <row r="819" ht="32.25" customHeight="1"/>
    <row r="820" ht="32.25" customHeight="1"/>
    <row r="821" ht="32.25" customHeight="1"/>
    <row r="822" ht="32.25" customHeight="1"/>
    <row r="823" ht="32.25" customHeight="1"/>
    <row r="824" ht="32.25" customHeight="1"/>
    <row r="825" ht="32.25" customHeight="1"/>
    <row r="826" ht="32.25" customHeight="1"/>
    <row r="827" ht="32.25" customHeight="1"/>
    <row r="828" ht="32.25" customHeight="1"/>
    <row r="829" ht="32.25" customHeight="1"/>
    <row r="830" ht="32.25" customHeight="1"/>
    <row r="831" ht="32.25" customHeight="1"/>
    <row r="832" ht="32.25" customHeight="1"/>
    <row r="833" ht="32.25" customHeight="1"/>
    <row r="834" ht="32.25" customHeight="1"/>
    <row r="835" ht="32.25" customHeight="1"/>
    <row r="836" ht="32.25" customHeight="1"/>
    <row r="837" ht="32.25" customHeight="1"/>
    <row r="838" ht="32.25" customHeight="1"/>
    <row r="839" ht="32.25" customHeight="1"/>
    <row r="840" ht="32.25" customHeight="1"/>
    <row r="841" ht="32.25" customHeight="1"/>
    <row r="842" ht="32.25" customHeight="1"/>
    <row r="843" ht="32.25" customHeight="1"/>
    <row r="844" ht="32.25" customHeight="1"/>
    <row r="845" ht="32.25" customHeight="1"/>
    <row r="846" ht="32.25" customHeight="1"/>
    <row r="847" ht="32.25" customHeight="1"/>
    <row r="848" ht="32.25" customHeight="1"/>
    <row r="849" ht="32.25" customHeight="1"/>
    <row r="850" ht="32.25" customHeight="1"/>
    <row r="851" ht="32.25" customHeight="1"/>
    <row r="852" ht="32.25" customHeight="1"/>
    <row r="853" ht="32.25" customHeight="1"/>
    <row r="854" ht="32.25" customHeight="1"/>
    <row r="855" ht="32.25" customHeight="1"/>
    <row r="856" ht="32.25" customHeight="1"/>
    <row r="857" ht="32.25" customHeight="1"/>
    <row r="858" ht="32.25" customHeight="1"/>
    <row r="859" ht="32.25" customHeight="1"/>
    <row r="860" ht="32.25" customHeight="1"/>
    <row r="861" ht="32.25" customHeight="1"/>
    <row r="862" ht="32.25" customHeight="1"/>
    <row r="863" ht="32.25" customHeight="1"/>
    <row r="864" ht="32.25" customHeight="1"/>
    <row r="865" ht="32.25" customHeight="1"/>
    <row r="866" ht="32.25" customHeight="1"/>
    <row r="867" ht="32.25" customHeight="1"/>
    <row r="868" ht="32.25" customHeight="1"/>
    <row r="869" ht="32.25" customHeight="1"/>
    <row r="870" ht="32.25" customHeight="1"/>
    <row r="871" ht="32.25" customHeight="1"/>
    <row r="872" ht="32.25" customHeight="1"/>
    <row r="873" ht="32.25" customHeight="1"/>
    <row r="874" ht="32.25" customHeight="1"/>
    <row r="875" ht="32.25" customHeight="1"/>
    <row r="876" ht="32.25" customHeight="1"/>
    <row r="877" ht="32.25" customHeight="1"/>
    <row r="878" ht="32.25" customHeight="1"/>
    <row r="879" ht="32.25" customHeight="1"/>
    <row r="880" ht="32.25" customHeight="1"/>
    <row r="881" ht="32.25" customHeight="1"/>
    <row r="882" ht="32.25" customHeight="1"/>
    <row r="883" ht="32.25" customHeight="1"/>
    <row r="884" ht="32.25" customHeight="1"/>
    <row r="885" ht="32.25" customHeight="1"/>
    <row r="886" ht="32.25" customHeight="1"/>
    <row r="887" ht="32.25" customHeight="1"/>
    <row r="888" ht="32.25" customHeight="1"/>
    <row r="889" ht="32.25" customHeight="1"/>
    <row r="890" ht="32.25" customHeight="1"/>
    <row r="891" ht="32.25" customHeight="1"/>
    <row r="892" ht="32.25" customHeight="1"/>
    <row r="893" ht="32.25" customHeight="1"/>
    <row r="894" ht="32.25" customHeight="1"/>
    <row r="895" ht="32.25" customHeight="1"/>
    <row r="896" ht="32.25" customHeight="1"/>
    <row r="897" ht="32.25" customHeight="1"/>
    <row r="898" ht="32.25" customHeight="1"/>
    <row r="899" ht="32.25" customHeight="1"/>
    <row r="900" ht="32.25" customHeight="1"/>
    <row r="901" ht="32.25" customHeight="1"/>
    <row r="902" ht="32.25" customHeight="1"/>
    <row r="903" ht="32.25" customHeight="1"/>
    <row r="904" ht="32.25" customHeight="1"/>
    <row r="905" ht="32.25" customHeight="1"/>
    <row r="906" ht="32.25" customHeight="1"/>
    <row r="907" ht="32.25" customHeight="1"/>
    <row r="908" ht="32.25" customHeight="1"/>
    <row r="909" ht="32.25" customHeight="1"/>
    <row r="910" ht="32.25" customHeight="1"/>
    <row r="911" ht="32.25" customHeight="1"/>
    <row r="912" ht="32.25" customHeight="1"/>
    <row r="913" ht="32.25" customHeight="1"/>
    <row r="914" ht="32.25" customHeight="1"/>
    <row r="915" ht="32.25" customHeight="1"/>
    <row r="916" ht="32.25" customHeight="1"/>
    <row r="917" ht="32.25" customHeight="1"/>
    <row r="918" ht="32.25" customHeight="1"/>
    <row r="919" ht="32.25" customHeight="1"/>
    <row r="920" ht="32.25" customHeight="1"/>
    <row r="921" ht="32.25" customHeight="1"/>
    <row r="922" ht="32.25" customHeight="1"/>
    <row r="923" ht="32.25" customHeight="1"/>
    <row r="924" ht="32.25" customHeight="1"/>
    <row r="925" ht="32.25" customHeight="1"/>
    <row r="926" ht="32.25" customHeight="1"/>
    <row r="927" ht="32.25" customHeight="1"/>
    <row r="928" ht="32.25" customHeight="1"/>
    <row r="929" ht="32.25" customHeight="1"/>
    <row r="930" ht="32.25" customHeight="1"/>
    <row r="931" ht="32.25" customHeight="1"/>
    <row r="932" ht="32.25" customHeight="1"/>
    <row r="933" ht="32.25" customHeight="1"/>
    <row r="934" ht="32.25" customHeight="1"/>
    <row r="935" ht="32.25" customHeight="1"/>
    <row r="936" ht="32.25" customHeight="1"/>
    <row r="937" ht="32.25" customHeight="1"/>
    <row r="938" ht="32.25" customHeight="1"/>
    <row r="939" ht="32.25" customHeight="1"/>
    <row r="940" ht="32.25" customHeight="1"/>
    <row r="941" ht="32.25" customHeight="1"/>
    <row r="942" ht="32.25" customHeight="1"/>
    <row r="943" ht="32.25" customHeight="1"/>
    <row r="944" ht="32.25" customHeight="1"/>
    <row r="945" ht="32.25" customHeight="1"/>
    <row r="946" ht="32.25" customHeight="1"/>
    <row r="947" ht="32.25" customHeight="1"/>
    <row r="948" ht="32.25" customHeight="1"/>
    <row r="949" ht="32.25" customHeight="1"/>
    <row r="950" ht="32.25" customHeight="1"/>
    <row r="951" ht="32.25" customHeight="1"/>
    <row r="952" ht="32.25" customHeight="1"/>
    <row r="953" ht="32.25" customHeight="1"/>
    <row r="954" ht="32.25" customHeight="1"/>
    <row r="955" ht="32.25" customHeight="1"/>
    <row r="956" ht="32.25" customHeight="1"/>
    <row r="957" ht="32.25" customHeight="1"/>
    <row r="958" ht="32.25" customHeight="1"/>
    <row r="959" ht="32.25" customHeight="1"/>
    <row r="960" ht="32.25" customHeight="1"/>
    <row r="961" ht="32.25" customHeight="1"/>
    <row r="962" ht="32.25" customHeight="1"/>
    <row r="963" ht="32.25" customHeight="1"/>
    <row r="964" ht="32.25" customHeight="1"/>
    <row r="965" ht="32.25" customHeight="1"/>
    <row r="966" ht="32.25" customHeight="1"/>
    <row r="967" ht="32.25" customHeight="1"/>
    <row r="968" ht="32.25" customHeight="1"/>
    <row r="969" ht="32.25" customHeight="1"/>
    <row r="970" ht="32.25" customHeight="1"/>
    <row r="971" ht="32.25" customHeight="1"/>
    <row r="972" ht="32.25" customHeight="1"/>
    <row r="973" ht="32.25" customHeight="1"/>
    <row r="974" ht="32.25" customHeight="1"/>
    <row r="975" ht="32.25" customHeight="1"/>
    <row r="976" ht="32.25" customHeight="1"/>
    <row r="977" ht="32.25" customHeight="1"/>
    <row r="978" ht="32.25" customHeight="1"/>
    <row r="979" ht="32.25" customHeight="1"/>
    <row r="980" ht="32.25" customHeight="1"/>
    <row r="981" ht="32.25" customHeight="1"/>
    <row r="982" ht="32.25" customHeight="1"/>
    <row r="983" ht="32.25" customHeight="1"/>
    <row r="984" ht="32.25" customHeight="1"/>
    <row r="985" ht="32.25" customHeight="1"/>
    <row r="986" ht="32.25" customHeight="1"/>
    <row r="987" ht="32.25" customHeight="1"/>
    <row r="988" ht="32.25" customHeight="1"/>
    <row r="989" ht="32.25" customHeight="1"/>
    <row r="990" ht="32.25" customHeight="1"/>
    <row r="991" ht="32.25" customHeight="1"/>
    <row r="992" ht="32.25" customHeight="1"/>
    <row r="993" ht="32.25" customHeight="1"/>
    <row r="994" ht="32.25" customHeight="1"/>
    <row r="995" ht="32.25" customHeight="1"/>
    <row r="996" ht="32.25" customHeight="1"/>
    <row r="997" ht="32.25" customHeight="1"/>
    <row r="998" ht="32.25" customHeight="1"/>
    <row r="999" ht="32.25" customHeight="1"/>
  </sheetData>
  <mergeCells count="20">
    <mergeCell ref="B2:I2"/>
    <mergeCell ref="K2:L2"/>
    <mergeCell ref="C4:D4"/>
    <mergeCell ref="C5:D5"/>
    <mergeCell ref="C6:D6"/>
    <mergeCell ref="B7:C7"/>
    <mergeCell ref="B9:D9"/>
    <mergeCell ref="C16:D16"/>
    <mergeCell ref="C17:D17"/>
    <mergeCell ref="C18:D18"/>
    <mergeCell ref="C19:D19"/>
    <mergeCell ref="C20:D20"/>
    <mergeCell ref="C21:D21"/>
    <mergeCell ref="F10:H10"/>
    <mergeCell ref="I10:I11"/>
    <mergeCell ref="B11:D11"/>
    <mergeCell ref="C12:D12"/>
    <mergeCell ref="C13:D13"/>
    <mergeCell ref="C14:D14"/>
    <mergeCell ref="C15:D15"/>
  </mergeCells>
  <hyperlinks>
    <hyperlink r:id="rId1" ref="B8"/>
  </hyperlinks>
  <printOptions/>
  <pageMargins bottom="0.75" footer="0.0" header="0.0" left="0.7" right="0.7" top="0.75"/>
  <pageSetup paperSize="9" orientation="portrait"/>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61.0"/>
    <col customWidth="1" min="5" max="5" width="4.29"/>
    <col customWidth="1" min="6" max="8" width="7.14"/>
    <col customWidth="1" min="9" max="9" width="85.71"/>
    <col customWidth="1" min="10" max="10" width="11.43"/>
    <col customWidth="1" min="11" max="11" width="14.14"/>
    <col customWidth="1" min="12" max="26" width="11.43"/>
  </cols>
  <sheetData>
    <row r="2" ht="21.75" customHeight="1">
      <c r="B2" s="26" t="s">
        <v>124</v>
      </c>
      <c r="C2" s="27"/>
      <c r="D2" s="27"/>
      <c r="E2" s="27"/>
      <c r="F2" s="27"/>
      <c r="G2" s="27"/>
      <c r="H2" s="27"/>
      <c r="I2" s="27"/>
      <c r="K2" s="172" t="s">
        <v>125</v>
      </c>
      <c r="L2" s="29"/>
    </row>
    <row r="3" ht="15.0" customHeight="1">
      <c r="K3" s="31" t="s">
        <v>126</v>
      </c>
      <c r="L3" s="32">
        <f>COUNT(B12:D100)</f>
        <v>30</v>
      </c>
    </row>
    <row r="4">
      <c r="B4" s="33" t="s">
        <v>127</v>
      </c>
      <c r="C4" s="34" t="s">
        <v>128</v>
      </c>
      <c r="K4" s="31" t="s">
        <v>129</v>
      </c>
      <c r="L4" s="32">
        <f>COUNTIF(F12:F100,"X")</f>
        <v>30</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176" t="s">
        <v>399</v>
      </c>
      <c r="C11" s="27"/>
      <c r="D11" s="27"/>
      <c r="E11" s="43"/>
      <c r="F11" s="44" t="s">
        <v>127</v>
      </c>
      <c r="G11" s="45" t="s">
        <v>130</v>
      </c>
      <c r="H11" s="45" t="s">
        <v>132</v>
      </c>
      <c r="I11" s="46"/>
      <c r="J11" s="67"/>
    </row>
    <row r="12" ht="11.25" customHeight="1">
      <c r="C12" s="177"/>
      <c r="F12" s="147"/>
      <c r="G12" s="147"/>
      <c r="H12" s="147"/>
      <c r="I12" s="147"/>
    </row>
    <row r="13" ht="18.75" customHeight="1">
      <c r="B13" s="178">
        <v>1.0</v>
      </c>
      <c r="C13" s="184" t="s">
        <v>400</v>
      </c>
      <c r="D13" s="156"/>
      <c r="E13" s="54"/>
      <c r="F13" s="179" t="s">
        <v>141</v>
      </c>
      <c r="G13" s="179"/>
      <c r="H13" s="152"/>
      <c r="I13" s="153"/>
    </row>
    <row r="14" ht="18.75" customHeight="1">
      <c r="B14" s="178">
        <v>2.0</v>
      </c>
      <c r="C14" s="185" t="s">
        <v>401</v>
      </c>
      <c r="D14" s="156"/>
      <c r="E14" s="180"/>
      <c r="F14" s="179" t="s">
        <v>141</v>
      </c>
      <c r="G14" s="179"/>
      <c r="H14" s="152"/>
      <c r="I14" s="153"/>
    </row>
    <row r="15" ht="18.75" customHeight="1">
      <c r="B15" s="178">
        <v>3.0</v>
      </c>
      <c r="C15" s="184" t="s">
        <v>402</v>
      </c>
      <c r="D15" s="156"/>
      <c r="E15" s="54"/>
      <c r="F15" s="179" t="s">
        <v>141</v>
      </c>
      <c r="G15" s="179"/>
      <c r="H15" s="152"/>
      <c r="I15" s="153"/>
    </row>
    <row r="16" ht="18.75" customHeight="1">
      <c r="B16" s="178">
        <v>4.0</v>
      </c>
      <c r="C16" s="185" t="s">
        <v>403</v>
      </c>
      <c r="D16" s="156"/>
      <c r="E16" s="54"/>
      <c r="F16" s="179" t="s">
        <v>141</v>
      </c>
      <c r="G16" s="179"/>
      <c r="H16" s="152"/>
      <c r="I16" s="153"/>
    </row>
    <row r="17" ht="18.75" customHeight="1">
      <c r="B17" s="178">
        <v>5.0</v>
      </c>
      <c r="C17" s="186" t="s">
        <v>404</v>
      </c>
      <c r="D17" s="156"/>
      <c r="E17" s="54"/>
      <c r="F17" s="179" t="s">
        <v>141</v>
      </c>
      <c r="G17" s="179"/>
      <c r="H17" s="152"/>
      <c r="I17" s="153"/>
    </row>
    <row r="18" ht="18.75" customHeight="1">
      <c r="B18" s="182">
        <v>6.0</v>
      </c>
      <c r="C18" s="184" t="s">
        <v>405</v>
      </c>
      <c r="D18" s="156"/>
      <c r="F18" s="179" t="s">
        <v>141</v>
      </c>
      <c r="G18" s="179"/>
      <c r="H18" s="152"/>
      <c r="I18" s="153"/>
    </row>
    <row r="19" ht="18.75" customHeight="1">
      <c r="B19" s="183">
        <v>7.0</v>
      </c>
      <c r="C19" s="185" t="s">
        <v>406</v>
      </c>
      <c r="D19" s="156"/>
      <c r="F19" s="179" t="s">
        <v>141</v>
      </c>
      <c r="G19" s="179"/>
      <c r="H19" s="152"/>
      <c r="I19" s="153"/>
    </row>
    <row r="20" ht="18.75" customHeight="1">
      <c r="B20" s="178">
        <v>8.0</v>
      </c>
      <c r="C20" s="184" t="s">
        <v>407</v>
      </c>
      <c r="D20" s="156"/>
      <c r="F20" s="179" t="s">
        <v>141</v>
      </c>
      <c r="G20" s="179"/>
      <c r="H20" s="152"/>
      <c r="I20" s="153"/>
    </row>
    <row r="21" ht="18.75" customHeight="1">
      <c r="B21" s="178">
        <v>9.0</v>
      </c>
      <c r="C21" s="185" t="s">
        <v>408</v>
      </c>
      <c r="D21" s="156"/>
      <c r="F21" s="179" t="s">
        <v>141</v>
      </c>
      <c r="G21" s="179"/>
      <c r="H21" s="152"/>
      <c r="I21" s="153"/>
    </row>
    <row r="22" ht="18.75" customHeight="1">
      <c r="B22" s="178">
        <v>10.0</v>
      </c>
      <c r="C22" s="186" t="s">
        <v>409</v>
      </c>
      <c r="D22" s="156"/>
      <c r="F22" s="179" t="s">
        <v>141</v>
      </c>
      <c r="G22" s="179"/>
      <c r="H22" s="152"/>
      <c r="I22" s="153"/>
    </row>
    <row r="23" ht="18.75" customHeight="1">
      <c r="B23" s="178">
        <v>11.0</v>
      </c>
      <c r="C23" s="184" t="s">
        <v>410</v>
      </c>
      <c r="D23" s="156"/>
      <c r="F23" s="179" t="s">
        <v>141</v>
      </c>
      <c r="G23" s="179"/>
      <c r="H23" s="152"/>
      <c r="I23" s="153"/>
    </row>
    <row r="24" ht="18.75" customHeight="1">
      <c r="B24" s="178">
        <v>12.0</v>
      </c>
      <c r="C24" s="185" t="s">
        <v>411</v>
      </c>
      <c r="D24" s="156"/>
      <c r="F24" s="179" t="s">
        <v>141</v>
      </c>
      <c r="G24" s="179"/>
      <c r="H24" s="152"/>
      <c r="I24" s="153"/>
    </row>
    <row r="25" ht="18.75" customHeight="1">
      <c r="B25" s="178">
        <v>13.0</v>
      </c>
      <c r="C25" s="184" t="s">
        <v>412</v>
      </c>
      <c r="D25" s="156"/>
      <c r="F25" s="179" t="s">
        <v>141</v>
      </c>
      <c r="G25" s="179"/>
      <c r="H25" s="152"/>
      <c r="I25" s="153"/>
    </row>
    <row r="26" ht="18.75" customHeight="1">
      <c r="B26" s="178">
        <v>14.0</v>
      </c>
      <c r="C26" s="185" t="s">
        <v>413</v>
      </c>
      <c r="D26" s="156"/>
      <c r="F26" s="179" t="s">
        <v>141</v>
      </c>
      <c r="G26" s="179"/>
      <c r="H26" s="152"/>
      <c r="I26" s="153"/>
    </row>
    <row r="27" ht="18.75" customHeight="1">
      <c r="B27" s="178">
        <v>15.0</v>
      </c>
      <c r="C27" s="186" t="s">
        <v>414</v>
      </c>
      <c r="D27" s="156"/>
      <c r="F27" s="179" t="s">
        <v>141</v>
      </c>
      <c r="G27" s="179"/>
      <c r="H27" s="152"/>
      <c r="I27" s="153"/>
    </row>
    <row r="28" ht="18.75" customHeight="1">
      <c r="B28" s="182">
        <v>16.0</v>
      </c>
      <c r="C28" s="184" t="s">
        <v>415</v>
      </c>
      <c r="D28" s="156"/>
      <c r="F28" s="179" t="s">
        <v>141</v>
      </c>
      <c r="G28" s="179"/>
      <c r="H28" s="152"/>
      <c r="I28" s="153"/>
    </row>
    <row r="29" ht="18.75" customHeight="1">
      <c r="B29" s="183">
        <v>17.0</v>
      </c>
      <c r="C29" s="185" t="s">
        <v>416</v>
      </c>
      <c r="D29" s="156"/>
      <c r="F29" s="179" t="s">
        <v>141</v>
      </c>
      <c r="G29" s="179"/>
      <c r="H29" s="152"/>
      <c r="I29" s="153"/>
    </row>
    <row r="30" ht="18.75" customHeight="1">
      <c r="B30" s="178">
        <v>18.0</v>
      </c>
      <c r="C30" s="184" t="s">
        <v>417</v>
      </c>
      <c r="D30" s="156"/>
      <c r="F30" s="179" t="s">
        <v>141</v>
      </c>
      <c r="G30" s="179"/>
      <c r="H30" s="152"/>
      <c r="I30" s="153"/>
    </row>
    <row r="31" ht="18.75" customHeight="1">
      <c r="B31" s="178">
        <v>19.0</v>
      </c>
      <c r="C31" s="185" t="s">
        <v>418</v>
      </c>
      <c r="D31" s="156"/>
      <c r="F31" s="179" t="s">
        <v>141</v>
      </c>
      <c r="G31" s="179"/>
      <c r="H31" s="152"/>
      <c r="I31" s="153"/>
    </row>
    <row r="32" ht="18.75" customHeight="1">
      <c r="B32" s="178">
        <v>20.0</v>
      </c>
      <c r="C32" s="186" t="s">
        <v>419</v>
      </c>
      <c r="D32" s="156"/>
      <c r="F32" s="179" t="s">
        <v>141</v>
      </c>
      <c r="G32" s="179"/>
      <c r="H32" s="152"/>
      <c r="I32" s="153"/>
    </row>
    <row r="33" ht="18.75" customHeight="1">
      <c r="B33" s="178">
        <v>21.0</v>
      </c>
      <c r="C33" s="184" t="s">
        <v>420</v>
      </c>
      <c r="D33" s="156"/>
      <c r="F33" s="179" t="s">
        <v>141</v>
      </c>
      <c r="G33" s="179"/>
      <c r="H33" s="152"/>
      <c r="I33" s="153"/>
    </row>
    <row r="34" ht="18.75" customHeight="1">
      <c r="B34" s="178">
        <v>22.0</v>
      </c>
      <c r="C34" s="185" t="s">
        <v>421</v>
      </c>
      <c r="D34" s="156"/>
      <c r="F34" s="179" t="s">
        <v>141</v>
      </c>
      <c r="G34" s="179"/>
      <c r="H34" s="152"/>
      <c r="I34" s="153"/>
    </row>
    <row r="35" ht="18.75" customHeight="1">
      <c r="B35" s="178">
        <v>23.0</v>
      </c>
      <c r="C35" s="184" t="s">
        <v>422</v>
      </c>
      <c r="D35" s="156"/>
      <c r="F35" s="179" t="s">
        <v>141</v>
      </c>
      <c r="G35" s="179"/>
      <c r="H35" s="152"/>
      <c r="I35" s="153"/>
    </row>
    <row r="36" ht="18.75" customHeight="1">
      <c r="B36" s="178">
        <v>24.0</v>
      </c>
      <c r="C36" s="185" t="s">
        <v>423</v>
      </c>
      <c r="D36" s="156"/>
      <c r="F36" s="179" t="s">
        <v>141</v>
      </c>
      <c r="G36" s="179"/>
      <c r="H36" s="152"/>
      <c r="I36" s="153"/>
    </row>
    <row r="37" ht="18.75" customHeight="1">
      <c r="B37" s="178">
        <v>25.0</v>
      </c>
      <c r="C37" s="186" t="s">
        <v>424</v>
      </c>
      <c r="D37" s="156"/>
      <c r="F37" s="179" t="s">
        <v>141</v>
      </c>
      <c r="G37" s="179"/>
      <c r="H37" s="152"/>
      <c r="I37" s="153"/>
    </row>
    <row r="38" ht="18.75" customHeight="1">
      <c r="B38" s="182">
        <v>26.0</v>
      </c>
      <c r="C38" s="184" t="s">
        <v>425</v>
      </c>
      <c r="D38" s="156"/>
      <c r="F38" s="179" t="s">
        <v>141</v>
      </c>
      <c r="G38" s="179"/>
      <c r="H38" s="152"/>
      <c r="I38" s="153"/>
    </row>
    <row r="39" ht="18.75" customHeight="1">
      <c r="B39" s="183">
        <v>27.0</v>
      </c>
      <c r="C39" s="185" t="s">
        <v>426</v>
      </c>
      <c r="D39" s="156"/>
      <c r="F39" s="179" t="s">
        <v>141</v>
      </c>
      <c r="G39" s="179"/>
      <c r="H39" s="152"/>
      <c r="I39" s="153"/>
    </row>
    <row r="40" ht="18.75" customHeight="1">
      <c r="B40" s="178">
        <v>28.0</v>
      </c>
      <c r="C40" s="184" t="s">
        <v>427</v>
      </c>
      <c r="D40" s="156"/>
      <c r="F40" s="179" t="s">
        <v>141</v>
      </c>
      <c r="G40" s="179"/>
      <c r="H40" s="152"/>
      <c r="I40" s="153"/>
    </row>
    <row r="41" ht="18.75" customHeight="1">
      <c r="B41" s="178">
        <v>29.0</v>
      </c>
      <c r="C41" s="185" t="s">
        <v>428</v>
      </c>
      <c r="D41" s="156"/>
      <c r="F41" s="179" t="s">
        <v>141</v>
      </c>
      <c r="G41" s="179"/>
      <c r="H41" s="152"/>
      <c r="I41" s="153"/>
    </row>
    <row r="42" ht="18.75" customHeight="1">
      <c r="B42" s="178">
        <v>30.0</v>
      </c>
      <c r="C42" s="186" t="s">
        <v>429</v>
      </c>
      <c r="D42" s="156"/>
      <c r="F42" s="179" t="s">
        <v>141</v>
      </c>
      <c r="G42" s="179"/>
      <c r="H42" s="152"/>
      <c r="I42" s="153"/>
    </row>
    <row r="43" ht="18.75" customHeight="1">
      <c r="B43" s="178"/>
      <c r="C43" s="184"/>
      <c r="D43" s="156"/>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7:D37"/>
    <mergeCell ref="C38:D38"/>
    <mergeCell ref="C39:D39"/>
    <mergeCell ref="C40:D40"/>
    <mergeCell ref="C41:D41"/>
    <mergeCell ref="C42:D42"/>
    <mergeCell ref="C43:D43"/>
    <mergeCell ref="C30:D30"/>
    <mergeCell ref="C31:D31"/>
    <mergeCell ref="C32:D32"/>
    <mergeCell ref="C33:D33"/>
    <mergeCell ref="C34:D34"/>
    <mergeCell ref="C35:D35"/>
    <mergeCell ref="C36:D36"/>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78.86"/>
    <col customWidth="1" min="5" max="5" width="4.29"/>
    <col customWidth="1" min="6" max="8" width="7.14"/>
    <col customWidth="1" min="9" max="9" width="93.71"/>
    <col customWidth="1" min="10" max="10" width="9.14"/>
    <col customWidth="1" min="11" max="11" width="14.14"/>
    <col customWidth="1" min="12" max="26" width="11.43"/>
  </cols>
  <sheetData>
    <row r="2" ht="21.75" customHeight="1">
      <c r="B2" s="26" t="s">
        <v>124</v>
      </c>
      <c r="C2" s="27"/>
      <c r="D2" s="27"/>
      <c r="E2" s="27"/>
      <c r="F2" s="27"/>
      <c r="G2" s="27"/>
      <c r="H2" s="27"/>
      <c r="I2" s="27"/>
      <c r="K2" s="172" t="s">
        <v>125</v>
      </c>
      <c r="L2" s="29"/>
    </row>
    <row r="3" ht="15.0" customHeight="1">
      <c r="K3" s="31" t="s">
        <v>126</v>
      </c>
      <c r="L3" s="32">
        <f>COUNT(B12:D96)</f>
        <v>10</v>
      </c>
    </row>
    <row r="4">
      <c r="B4" s="33" t="s">
        <v>127</v>
      </c>
      <c r="C4" s="34" t="s">
        <v>128</v>
      </c>
      <c r="K4" s="31" t="s">
        <v>129</v>
      </c>
      <c r="L4" s="32">
        <f>COUNTIF(F12:F96,"X")</f>
        <v>10</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176" t="s">
        <v>430</v>
      </c>
      <c r="C11" s="27"/>
      <c r="D11" s="27"/>
      <c r="E11" s="43"/>
      <c r="F11" s="44" t="s">
        <v>127</v>
      </c>
      <c r="G11" s="45" t="s">
        <v>130</v>
      </c>
      <c r="H11" s="45" t="s">
        <v>132</v>
      </c>
      <c r="I11" s="46"/>
      <c r="J11" s="67"/>
    </row>
    <row r="12" ht="11.25" customHeight="1">
      <c r="C12" s="177"/>
      <c r="F12" s="147"/>
      <c r="G12" s="147"/>
      <c r="H12" s="147"/>
      <c r="I12" s="147"/>
    </row>
    <row r="13" ht="18.75" customHeight="1">
      <c r="B13" s="187">
        <v>1.0</v>
      </c>
      <c r="C13" s="188" t="s">
        <v>431</v>
      </c>
      <c r="D13" s="189"/>
      <c r="E13" s="54"/>
      <c r="F13" s="179" t="s">
        <v>169</v>
      </c>
      <c r="G13" s="179"/>
      <c r="H13" s="152"/>
      <c r="I13" s="190" t="s">
        <v>432</v>
      </c>
    </row>
    <row r="14" ht="18.75" customHeight="1">
      <c r="B14" s="191">
        <v>2.0</v>
      </c>
      <c r="C14" s="192" t="s">
        <v>433</v>
      </c>
      <c r="D14" s="193"/>
      <c r="E14" s="180"/>
      <c r="F14" s="179" t="s">
        <v>169</v>
      </c>
      <c r="G14" s="179"/>
      <c r="H14" s="152"/>
      <c r="I14" s="190" t="s">
        <v>434</v>
      </c>
    </row>
    <row r="15" ht="18.75" customHeight="1">
      <c r="B15" s="191">
        <v>3.0</v>
      </c>
      <c r="C15" s="194" t="s">
        <v>435</v>
      </c>
      <c r="D15" s="189"/>
      <c r="E15" s="54"/>
      <c r="F15" s="179" t="s">
        <v>169</v>
      </c>
      <c r="G15" s="179"/>
      <c r="H15" s="152"/>
      <c r="I15" s="190" t="s">
        <v>436</v>
      </c>
    </row>
    <row r="16">
      <c r="B16" s="187">
        <v>4.0</v>
      </c>
      <c r="C16" s="188" t="s">
        <v>437</v>
      </c>
      <c r="D16" s="189"/>
      <c r="F16" s="179" t="s">
        <v>169</v>
      </c>
      <c r="G16" s="179"/>
      <c r="H16" s="152"/>
      <c r="I16" s="190" t="s">
        <v>438</v>
      </c>
    </row>
    <row r="17">
      <c r="B17" s="191">
        <v>5.0</v>
      </c>
      <c r="C17" s="192" t="s">
        <v>439</v>
      </c>
      <c r="D17" s="76"/>
      <c r="F17" s="179" t="s">
        <v>169</v>
      </c>
      <c r="G17" s="179"/>
      <c r="H17" s="152"/>
      <c r="I17" s="190" t="s">
        <v>434</v>
      </c>
    </row>
    <row r="18">
      <c r="B18" s="191">
        <v>6.0</v>
      </c>
      <c r="C18" s="195" t="s">
        <v>440</v>
      </c>
      <c r="D18" s="189"/>
      <c r="F18" s="179" t="s">
        <v>169</v>
      </c>
      <c r="G18" s="179"/>
      <c r="H18" s="152"/>
      <c r="I18" s="190" t="s">
        <v>434</v>
      </c>
    </row>
    <row r="19">
      <c r="B19" s="187">
        <v>7.0</v>
      </c>
      <c r="C19" s="196" t="s">
        <v>441</v>
      </c>
      <c r="D19" s="189"/>
      <c r="F19" s="179" t="s">
        <v>169</v>
      </c>
      <c r="G19" s="179"/>
      <c r="H19" s="152"/>
      <c r="I19" s="190" t="s">
        <v>442</v>
      </c>
    </row>
    <row r="20">
      <c r="B20" s="191">
        <v>8.0</v>
      </c>
      <c r="C20" s="192" t="s">
        <v>443</v>
      </c>
      <c r="D20" s="76"/>
      <c r="F20" s="179" t="s">
        <v>169</v>
      </c>
      <c r="G20" s="179"/>
      <c r="H20" s="152"/>
      <c r="I20" s="190" t="s">
        <v>434</v>
      </c>
    </row>
    <row r="21" ht="15.75" customHeight="1">
      <c r="B21" s="191">
        <v>9.0</v>
      </c>
      <c r="C21" s="197" t="s">
        <v>444</v>
      </c>
      <c r="D21" s="198"/>
      <c r="F21" s="179" t="s">
        <v>169</v>
      </c>
      <c r="G21" s="179"/>
      <c r="H21" s="152"/>
      <c r="I21" s="190" t="s">
        <v>434</v>
      </c>
    </row>
    <row r="22" ht="15.75" customHeight="1">
      <c r="B22" s="191">
        <v>10.0</v>
      </c>
      <c r="C22" s="199" t="s">
        <v>445</v>
      </c>
      <c r="D22" s="200"/>
      <c r="F22" s="179" t="s">
        <v>169</v>
      </c>
      <c r="G22" s="179"/>
      <c r="H22" s="152"/>
      <c r="I22" s="190" t="s">
        <v>434</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c r="I34" s="201"/>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2:I2"/>
    <mergeCell ref="K2:L2"/>
    <mergeCell ref="C4:D4"/>
    <mergeCell ref="C5:D5"/>
    <mergeCell ref="C6:D6"/>
    <mergeCell ref="B7:C7"/>
    <mergeCell ref="B9:D9"/>
    <mergeCell ref="C16:D16"/>
    <mergeCell ref="C17:D17"/>
    <mergeCell ref="C18:D18"/>
    <mergeCell ref="C19:D19"/>
    <mergeCell ref="C20:D20"/>
    <mergeCell ref="C21:D21"/>
    <mergeCell ref="C22:D22"/>
    <mergeCell ref="F10:H10"/>
    <mergeCell ref="I10:I11"/>
    <mergeCell ref="B11:D11"/>
    <mergeCell ref="C12:D12"/>
    <mergeCell ref="C13:D13"/>
    <mergeCell ref="C14:D14"/>
    <mergeCell ref="C15:D15"/>
  </mergeCell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172" t="s">
        <v>125</v>
      </c>
      <c r="L2" s="29"/>
    </row>
    <row r="3" ht="15.0" customHeight="1">
      <c r="K3" s="31" t="s">
        <v>126</v>
      </c>
      <c r="L3" s="32">
        <f>COUNT(B12:D100)</f>
        <v>40</v>
      </c>
    </row>
    <row r="4">
      <c r="B4" s="33" t="s">
        <v>127</v>
      </c>
      <c r="C4" s="34" t="s">
        <v>128</v>
      </c>
      <c r="K4" s="31" t="s">
        <v>129</v>
      </c>
      <c r="L4" s="32">
        <f>COUNTIF(F12:F100,"X")</f>
        <v>40</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176" t="s">
        <v>446</v>
      </c>
      <c r="C11" s="27"/>
      <c r="D11" s="27"/>
      <c r="E11" s="43"/>
      <c r="F11" s="44" t="s">
        <v>127</v>
      </c>
      <c r="G11" s="45" t="s">
        <v>130</v>
      </c>
      <c r="H11" s="45" t="s">
        <v>132</v>
      </c>
      <c r="I11" s="46"/>
      <c r="J11" s="67"/>
    </row>
    <row r="12" ht="11.25" customHeight="1">
      <c r="C12" s="177"/>
      <c r="F12" s="147"/>
      <c r="G12" s="147"/>
      <c r="H12" s="147"/>
      <c r="I12" s="147"/>
    </row>
    <row r="13">
      <c r="B13" s="187">
        <v>1.0</v>
      </c>
      <c r="C13" s="202" t="s">
        <v>447</v>
      </c>
      <c r="D13" s="189"/>
      <c r="E13" s="54"/>
      <c r="F13" s="179" t="s">
        <v>141</v>
      </c>
      <c r="G13" s="179"/>
      <c r="H13" s="152"/>
      <c r="I13" s="153"/>
    </row>
    <row r="14">
      <c r="B14" s="191">
        <v>2.0</v>
      </c>
      <c r="C14" s="202" t="s">
        <v>448</v>
      </c>
      <c r="D14" s="189"/>
      <c r="E14" s="180"/>
      <c r="F14" s="179" t="s">
        <v>141</v>
      </c>
      <c r="G14" s="179"/>
      <c r="H14" s="152"/>
      <c r="I14" s="153"/>
    </row>
    <row r="15">
      <c r="B15" s="191">
        <v>3.0</v>
      </c>
      <c r="C15" s="194" t="s">
        <v>449</v>
      </c>
      <c r="D15" s="189"/>
      <c r="E15" s="54"/>
      <c r="F15" s="179" t="s">
        <v>141</v>
      </c>
      <c r="G15" s="179"/>
      <c r="H15" s="152"/>
      <c r="I15" s="153"/>
    </row>
    <row r="16">
      <c r="B16" s="191">
        <v>4.0</v>
      </c>
      <c r="C16" s="203" t="s">
        <v>450</v>
      </c>
      <c r="D16" s="189"/>
      <c r="E16" s="54"/>
      <c r="F16" s="179" t="s">
        <v>141</v>
      </c>
      <c r="G16" s="179"/>
      <c r="H16" s="152"/>
      <c r="I16" s="153"/>
    </row>
    <row r="17">
      <c r="B17" s="187">
        <v>5.0</v>
      </c>
      <c r="C17" s="202" t="s">
        <v>451</v>
      </c>
      <c r="D17" s="189"/>
      <c r="E17" s="54"/>
      <c r="F17" s="179" t="s">
        <v>141</v>
      </c>
      <c r="G17" s="179"/>
      <c r="H17" s="152"/>
      <c r="I17" s="153"/>
    </row>
    <row r="18">
      <c r="B18" s="191">
        <v>6.0</v>
      </c>
      <c r="C18" s="202" t="s">
        <v>452</v>
      </c>
      <c r="D18" s="204"/>
      <c r="F18" s="179" t="s">
        <v>141</v>
      </c>
      <c r="G18" s="179"/>
      <c r="H18" s="152"/>
      <c r="I18" s="153"/>
    </row>
    <row r="19">
      <c r="B19" s="191">
        <v>7.0</v>
      </c>
      <c r="C19" s="194" t="s">
        <v>453</v>
      </c>
      <c r="D19" s="189"/>
      <c r="F19" s="179" t="s">
        <v>141</v>
      </c>
      <c r="G19" s="179"/>
      <c r="H19" s="152"/>
      <c r="I19" s="153"/>
    </row>
    <row r="20">
      <c r="B20" s="191">
        <v>8.0</v>
      </c>
      <c r="C20" s="203" t="s">
        <v>454</v>
      </c>
      <c r="D20" s="189"/>
      <c r="F20" s="179" t="s">
        <v>141</v>
      </c>
      <c r="G20" s="179"/>
      <c r="H20" s="152"/>
      <c r="I20" s="153"/>
    </row>
    <row r="21" ht="15.75" customHeight="1">
      <c r="B21" s="187">
        <v>9.0</v>
      </c>
      <c r="C21" s="202" t="s">
        <v>455</v>
      </c>
      <c r="D21" s="189"/>
      <c r="F21" s="179" t="s">
        <v>141</v>
      </c>
      <c r="G21" s="179"/>
      <c r="H21" s="152"/>
      <c r="I21" s="153"/>
    </row>
    <row r="22" ht="15.75" customHeight="1">
      <c r="B22" s="191">
        <v>10.0</v>
      </c>
      <c r="C22" s="202" t="s">
        <v>456</v>
      </c>
      <c r="D22" s="204"/>
      <c r="F22" s="179" t="s">
        <v>141</v>
      </c>
      <c r="G22" s="179"/>
      <c r="H22" s="152"/>
      <c r="I22" s="153"/>
    </row>
    <row r="23" ht="15.75" customHeight="1">
      <c r="B23" s="191">
        <v>11.0</v>
      </c>
      <c r="C23" s="194" t="s">
        <v>457</v>
      </c>
      <c r="D23" s="189"/>
      <c r="F23" s="179" t="s">
        <v>141</v>
      </c>
      <c r="G23" s="179"/>
      <c r="H23" s="152"/>
      <c r="I23" s="153"/>
    </row>
    <row r="24" ht="15.75" customHeight="1">
      <c r="B24" s="191">
        <v>12.0</v>
      </c>
      <c r="C24" s="203" t="s">
        <v>458</v>
      </c>
      <c r="D24" s="189"/>
      <c r="F24" s="179" t="s">
        <v>141</v>
      </c>
      <c r="G24" s="179"/>
      <c r="H24" s="152"/>
      <c r="I24" s="153"/>
    </row>
    <row r="25" ht="15.75" customHeight="1">
      <c r="B25" s="187">
        <v>13.0</v>
      </c>
      <c r="C25" s="202" t="s">
        <v>459</v>
      </c>
      <c r="D25" s="189"/>
      <c r="F25" s="179" t="s">
        <v>141</v>
      </c>
      <c r="G25" s="179"/>
      <c r="H25" s="152"/>
      <c r="I25" s="153"/>
    </row>
    <row r="26" ht="15.75" customHeight="1">
      <c r="B26" s="191">
        <v>14.0</v>
      </c>
      <c r="C26" s="202" t="s">
        <v>460</v>
      </c>
      <c r="D26" s="204"/>
      <c r="F26" s="179" t="s">
        <v>141</v>
      </c>
      <c r="G26" s="179"/>
      <c r="H26" s="152"/>
      <c r="I26" s="153"/>
    </row>
    <row r="27" ht="15.75" customHeight="1">
      <c r="B27" s="191">
        <v>15.0</v>
      </c>
      <c r="C27" s="194" t="s">
        <v>461</v>
      </c>
      <c r="D27" s="189"/>
      <c r="F27" s="179" t="s">
        <v>141</v>
      </c>
      <c r="G27" s="179"/>
      <c r="H27" s="152"/>
      <c r="I27" s="153"/>
    </row>
    <row r="28" ht="15.75" customHeight="1">
      <c r="B28" s="191">
        <v>16.0</v>
      </c>
      <c r="C28" s="203" t="s">
        <v>462</v>
      </c>
      <c r="D28" s="189"/>
      <c r="F28" s="179" t="s">
        <v>141</v>
      </c>
      <c r="G28" s="179"/>
      <c r="H28" s="152"/>
      <c r="I28" s="153"/>
    </row>
    <row r="29" ht="15.75" customHeight="1">
      <c r="B29" s="187">
        <v>17.0</v>
      </c>
      <c r="C29" s="202" t="s">
        <v>463</v>
      </c>
      <c r="D29" s="189"/>
      <c r="F29" s="179" t="s">
        <v>141</v>
      </c>
      <c r="G29" s="179"/>
      <c r="H29" s="152"/>
      <c r="I29" s="153"/>
    </row>
    <row r="30" ht="15.75" customHeight="1">
      <c r="B30" s="191">
        <v>18.0</v>
      </c>
      <c r="C30" s="202" t="s">
        <v>464</v>
      </c>
      <c r="D30" s="204"/>
      <c r="F30" s="179" t="s">
        <v>141</v>
      </c>
      <c r="G30" s="179"/>
      <c r="H30" s="152"/>
      <c r="I30" s="153"/>
    </row>
    <row r="31" ht="15.75" customHeight="1">
      <c r="B31" s="191">
        <v>19.0</v>
      </c>
      <c r="C31" s="194" t="s">
        <v>465</v>
      </c>
      <c r="D31" s="189"/>
      <c r="F31" s="179" t="s">
        <v>141</v>
      </c>
      <c r="G31" s="179"/>
      <c r="H31" s="152"/>
      <c r="I31" s="153"/>
    </row>
    <row r="32" ht="15.75" customHeight="1">
      <c r="B32" s="191">
        <v>20.0</v>
      </c>
      <c r="C32" s="203" t="s">
        <v>466</v>
      </c>
      <c r="D32" s="189"/>
      <c r="F32" s="179" t="s">
        <v>141</v>
      </c>
      <c r="G32" s="179"/>
      <c r="H32" s="152"/>
      <c r="I32" s="153"/>
    </row>
    <row r="33" ht="15.75" customHeight="1">
      <c r="B33" s="187">
        <v>21.0</v>
      </c>
      <c r="C33" s="202" t="s">
        <v>467</v>
      </c>
      <c r="D33" s="189"/>
      <c r="F33" s="179" t="s">
        <v>141</v>
      </c>
      <c r="G33" s="179"/>
      <c r="H33" s="152"/>
      <c r="I33" s="153"/>
    </row>
    <row r="34" ht="15.75" customHeight="1">
      <c r="B34" s="191">
        <v>22.0</v>
      </c>
      <c r="C34" s="202" t="s">
        <v>468</v>
      </c>
      <c r="D34" s="204"/>
      <c r="F34" s="179" t="s">
        <v>141</v>
      </c>
      <c r="G34" s="179"/>
      <c r="H34" s="152"/>
      <c r="I34" s="153"/>
    </row>
    <row r="35" ht="15.75" customHeight="1">
      <c r="B35" s="191">
        <v>23.0</v>
      </c>
      <c r="C35" s="194" t="s">
        <v>469</v>
      </c>
      <c r="D35" s="189"/>
      <c r="F35" s="179" t="s">
        <v>141</v>
      </c>
      <c r="G35" s="179"/>
      <c r="H35" s="152"/>
      <c r="I35" s="153"/>
    </row>
    <row r="36" ht="15.75" customHeight="1">
      <c r="B36" s="191">
        <v>24.0</v>
      </c>
      <c r="C36" s="203" t="s">
        <v>470</v>
      </c>
      <c r="D36" s="189"/>
      <c r="F36" s="179" t="s">
        <v>141</v>
      </c>
      <c r="G36" s="179"/>
      <c r="H36" s="152"/>
      <c r="I36" s="153"/>
    </row>
    <row r="37" ht="15.75" customHeight="1">
      <c r="B37" s="187">
        <v>25.0</v>
      </c>
      <c r="C37" s="202" t="s">
        <v>471</v>
      </c>
      <c r="D37" s="189"/>
      <c r="F37" s="179" t="s">
        <v>141</v>
      </c>
      <c r="G37" s="179"/>
      <c r="H37" s="152"/>
      <c r="I37" s="153"/>
    </row>
    <row r="38" ht="15.75" customHeight="1">
      <c r="B38" s="191">
        <v>26.0</v>
      </c>
      <c r="C38" s="202" t="s">
        <v>472</v>
      </c>
      <c r="D38" s="204"/>
      <c r="F38" s="179" t="s">
        <v>141</v>
      </c>
      <c r="G38" s="179"/>
      <c r="H38" s="152"/>
      <c r="I38" s="153"/>
    </row>
    <row r="39" ht="15.75" customHeight="1">
      <c r="B39" s="191">
        <v>27.0</v>
      </c>
      <c r="C39" s="194" t="s">
        <v>473</v>
      </c>
      <c r="D39" s="189"/>
      <c r="F39" s="179" t="s">
        <v>141</v>
      </c>
      <c r="G39" s="179"/>
      <c r="H39" s="152"/>
      <c r="I39" s="153"/>
    </row>
    <row r="40" ht="15.75" customHeight="1">
      <c r="B40" s="191">
        <v>28.0</v>
      </c>
      <c r="C40" s="203" t="s">
        <v>474</v>
      </c>
      <c r="D40" s="189"/>
      <c r="F40" s="179" t="s">
        <v>141</v>
      </c>
      <c r="G40" s="179"/>
      <c r="H40" s="152"/>
      <c r="I40" s="153"/>
    </row>
    <row r="41" ht="15.75" customHeight="1">
      <c r="B41" s="187">
        <v>29.0</v>
      </c>
      <c r="C41" s="202" t="s">
        <v>475</v>
      </c>
      <c r="D41" s="189"/>
      <c r="F41" s="179" t="s">
        <v>141</v>
      </c>
      <c r="G41" s="179"/>
      <c r="H41" s="152"/>
      <c r="I41" s="153"/>
    </row>
    <row r="42" ht="15.75" customHeight="1">
      <c r="B42" s="191">
        <v>30.0</v>
      </c>
      <c r="C42" s="202" t="s">
        <v>476</v>
      </c>
      <c r="D42" s="204"/>
      <c r="F42" s="179" t="s">
        <v>141</v>
      </c>
      <c r="G42" s="179"/>
      <c r="H42" s="152"/>
      <c r="I42" s="153"/>
    </row>
    <row r="43" ht="18.75" customHeight="1">
      <c r="B43" s="191">
        <v>21.0</v>
      </c>
      <c r="C43" s="194" t="s">
        <v>467</v>
      </c>
      <c r="D43" s="189"/>
      <c r="F43" s="179" t="s">
        <v>141</v>
      </c>
      <c r="G43" s="179"/>
      <c r="H43" s="152"/>
      <c r="I43" s="153"/>
    </row>
    <row r="44" ht="18.75" customHeight="1">
      <c r="B44" s="191">
        <v>22.0</v>
      </c>
      <c r="C44" s="203" t="s">
        <v>468</v>
      </c>
      <c r="D44" s="189"/>
      <c r="F44" s="179" t="s">
        <v>141</v>
      </c>
      <c r="G44" s="179"/>
      <c r="H44" s="152"/>
      <c r="I44" s="153"/>
    </row>
    <row r="45" ht="18.75" customHeight="1">
      <c r="B45" s="187">
        <v>23.0</v>
      </c>
      <c r="C45" s="202" t="s">
        <v>469</v>
      </c>
      <c r="D45" s="189"/>
      <c r="F45" s="179" t="s">
        <v>141</v>
      </c>
      <c r="G45" s="179"/>
      <c r="H45" s="152"/>
      <c r="I45" s="153"/>
    </row>
    <row r="46" ht="18.75" customHeight="1">
      <c r="B46" s="191">
        <v>24.0</v>
      </c>
      <c r="C46" s="202" t="s">
        <v>470</v>
      </c>
      <c r="D46" s="204"/>
      <c r="F46" s="179" t="s">
        <v>141</v>
      </c>
      <c r="G46" s="179"/>
      <c r="H46" s="152"/>
      <c r="I46" s="153"/>
    </row>
    <row r="47" ht="18.75" customHeight="1">
      <c r="B47" s="191">
        <v>25.0</v>
      </c>
      <c r="C47" s="194" t="s">
        <v>471</v>
      </c>
      <c r="D47" s="189"/>
      <c r="F47" s="179" t="s">
        <v>141</v>
      </c>
      <c r="G47" s="179"/>
      <c r="H47" s="152"/>
      <c r="I47" s="153"/>
    </row>
    <row r="48" ht="18.75" customHeight="1">
      <c r="B48" s="191">
        <v>26.0</v>
      </c>
      <c r="C48" s="203" t="s">
        <v>472</v>
      </c>
      <c r="D48" s="189"/>
      <c r="F48" s="179" t="s">
        <v>141</v>
      </c>
      <c r="G48" s="179"/>
      <c r="H48" s="152"/>
      <c r="I48" s="153"/>
    </row>
    <row r="49" ht="18.75" customHeight="1">
      <c r="B49" s="187">
        <v>27.0</v>
      </c>
      <c r="C49" s="202" t="s">
        <v>473</v>
      </c>
      <c r="D49" s="189"/>
      <c r="F49" s="179" t="s">
        <v>141</v>
      </c>
      <c r="G49" s="179"/>
      <c r="H49" s="152"/>
      <c r="I49" s="153"/>
    </row>
    <row r="50" ht="18.75" customHeight="1">
      <c r="B50" s="191">
        <v>28.0</v>
      </c>
      <c r="C50" s="202" t="s">
        <v>474</v>
      </c>
      <c r="D50" s="204"/>
      <c r="F50" s="179" t="s">
        <v>141</v>
      </c>
      <c r="G50" s="179"/>
      <c r="H50" s="152"/>
      <c r="I50" s="153"/>
    </row>
    <row r="51" ht="18.75" customHeight="1">
      <c r="B51" s="191">
        <v>29.0</v>
      </c>
      <c r="C51" s="194" t="s">
        <v>475</v>
      </c>
      <c r="D51" s="189"/>
      <c r="F51" s="179" t="s">
        <v>141</v>
      </c>
      <c r="G51" s="179"/>
      <c r="H51" s="152"/>
      <c r="I51" s="153"/>
    </row>
    <row r="52" ht="18.75" customHeight="1">
      <c r="B52" s="191">
        <v>30.0</v>
      </c>
      <c r="C52" s="205" t="s">
        <v>476</v>
      </c>
      <c r="D52" s="198"/>
      <c r="F52" s="179" t="s">
        <v>141</v>
      </c>
      <c r="G52" s="179"/>
      <c r="H52" s="152"/>
      <c r="I52" s="153"/>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51:D51"/>
    <mergeCell ref="C52:D52"/>
    <mergeCell ref="C44:D44"/>
    <mergeCell ref="C45:D45"/>
    <mergeCell ref="C46:D46"/>
    <mergeCell ref="C47:D47"/>
    <mergeCell ref="C48:D48"/>
    <mergeCell ref="C49:D49"/>
    <mergeCell ref="C50:D50"/>
  </mergeCell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3F4F"/>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81.14"/>
    <col customWidth="1" min="5" max="5" width="4.29"/>
    <col customWidth="1" min="6" max="8" width="7.14"/>
    <col customWidth="1" min="9" max="9" width="140.43"/>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COUNT(B12:D99)</f>
        <v>9</v>
      </c>
    </row>
    <row r="4">
      <c r="B4" s="33" t="s">
        <v>127</v>
      </c>
      <c r="C4" s="34" t="s">
        <v>128</v>
      </c>
      <c r="K4" s="31" t="s">
        <v>129</v>
      </c>
      <c r="L4" s="32">
        <f>COUNTIF(F12:F99,"X")</f>
        <v>9</v>
      </c>
    </row>
    <row r="5">
      <c r="B5" s="33" t="s">
        <v>130</v>
      </c>
      <c r="C5" s="34" t="s">
        <v>131</v>
      </c>
      <c r="K5" s="31" t="s">
        <v>134</v>
      </c>
      <c r="L5" s="35" t="str">
        <f>PERCENTOF(L4,L3)</f>
        <v>#NAME?</v>
      </c>
    </row>
    <row r="6">
      <c r="B6" s="33" t="s">
        <v>132</v>
      </c>
      <c r="C6" s="34" t="s">
        <v>133</v>
      </c>
    </row>
    <row r="7">
      <c r="B7" s="66" t="s">
        <v>135</v>
      </c>
      <c r="D7" s="34" t="s">
        <v>136</v>
      </c>
    </row>
    <row r="8">
      <c r="B8" s="173" t="s">
        <v>477</v>
      </c>
      <c r="C8" s="66"/>
      <c r="D8" s="34"/>
    </row>
    <row r="9" ht="16.5" customHeight="1">
      <c r="B9" s="174"/>
      <c r="E9" s="175"/>
      <c r="F9" s="175"/>
      <c r="G9" s="175"/>
      <c r="H9" s="175"/>
      <c r="I9" s="175"/>
    </row>
    <row r="10" ht="21.0" customHeight="1">
      <c r="F10" s="37" t="s">
        <v>137</v>
      </c>
      <c r="G10" s="38"/>
      <c r="H10" s="39"/>
      <c r="I10" s="40" t="s">
        <v>250</v>
      </c>
    </row>
    <row r="11" ht="20.25" customHeight="1">
      <c r="B11" s="206" t="s">
        <v>478</v>
      </c>
      <c r="C11" s="27"/>
      <c r="D11" s="27"/>
      <c r="E11" s="43"/>
      <c r="F11" s="44" t="s">
        <v>127</v>
      </c>
      <c r="G11" s="45" t="s">
        <v>130</v>
      </c>
      <c r="H11" s="45" t="s">
        <v>132</v>
      </c>
      <c r="I11" s="46"/>
      <c r="J11" s="67"/>
    </row>
    <row r="12" ht="11.25" customHeight="1">
      <c r="C12" s="177"/>
      <c r="F12" s="147"/>
      <c r="G12" s="147"/>
      <c r="H12" s="147"/>
      <c r="I12" s="147"/>
    </row>
    <row r="13">
      <c r="B13" s="207">
        <v>1.0</v>
      </c>
      <c r="C13" s="208" t="s">
        <v>479</v>
      </c>
      <c r="D13" s="189"/>
      <c r="E13" s="54"/>
      <c r="F13" s="151" t="s">
        <v>141</v>
      </c>
      <c r="G13" s="151"/>
      <c r="H13" s="152"/>
      <c r="I13" s="209" t="s">
        <v>255</v>
      </c>
    </row>
    <row r="14">
      <c r="B14" s="210">
        <v>2.0</v>
      </c>
      <c r="C14" s="202" t="s">
        <v>480</v>
      </c>
      <c r="D14" s="189"/>
      <c r="E14" s="211"/>
      <c r="F14" s="151" t="s">
        <v>141</v>
      </c>
      <c r="G14" s="151"/>
      <c r="H14" s="152"/>
      <c r="I14" s="209" t="s">
        <v>255</v>
      </c>
    </row>
    <row r="15">
      <c r="B15" s="210">
        <v>3.0</v>
      </c>
      <c r="C15" s="194" t="s">
        <v>481</v>
      </c>
      <c r="D15" s="189"/>
      <c r="E15" s="54"/>
      <c r="F15" s="151" t="s">
        <v>141</v>
      </c>
      <c r="G15" s="151"/>
      <c r="H15" s="152"/>
      <c r="I15" s="209" t="s">
        <v>255</v>
      </c>
    </row>
    <row r="16">
      <c r="B16" s="210">
        <v>4.0</v>
      </c>
      <c r="C16" s="203" t="s">
        <v>482</v>
      </c>
      <c r="D16" s="189"/>
      <c r="E16" s="54"/>
      <c r="F16" s="151" t="s">
        <v>141</v>
      </c>
      <c r="G16" s="151"/>
      <c r="H16" s="152"/>
      <c r="I16" s="209" t="s">
        <v>483</v>
      </c>
    </row>
    <row r="17">
      <c r="B17" s="210">
        <v>5.0</v>
      </c>
      <c r="C17" s="203" t="s">
        <v>484</v>
      </c>
      <c r="D17" s="189"/>
      <c r="E17" s="54"/>
      <c r="F17" s="151" t="s">
        <v>141</v>
      </c>
      <c r="G17" s="151"/>
      <c r="H17" s="152"/>
      <c r="I17" s="209" t="s">
        <v>255</v>
      </c>
    </row>
    <row r="18">
      <c r="B18" s="207">
        <v>6.0</v>
      </c>
      <c r="C18" s="194" t="s">
        <v>485</v>
      </c>
      <c r="D18" s="189"/>
      <c r="F18" s="151" t="s">
        <v>141</v>
      </c>
      <c r="G18" s="151"/>
      <c r="H18" s="152"/>
      <c r="I18" s="209" t="s">
        <v>255</v>
      </c>
    </row>
    <row r="19">
      <c r="B19" s="210">
        <v>7.0</v>
      </c>
      <c r="C19" s="194" t="s">
        <v>486</v>
      </c>
      <c r="D19" s="189"/>
      <c r="F19" s="151" t="s">
        <v>141</v>
      </c>
      <c r="G19" s="151"/>
      <c r="H19" s="152"/>
      <c r="I19" s="209"/>
    </row>
    <row r="20" ht="15.75" customHeight="1">
      <c r="B20" s="210">
        <v>8.0</v>
      </c>
      <c r="C20" s="202" t="s">
        <v>487</v>
      </c>
      <c r="D20" s="189"/>
      <c r="F20" s="151" t="s">
        <v>141</v>
      </c>
      <c r="G20" s="151"/>
      <c r="H20" s="152"/>
      <c r="I20" s="209" t="s">
        <v>255</v>
      </c>
    </row>
    <row r="21" ht="15.75" customHeight="1">
      <c r="B21" s="210">
        <v>9.0</v>
      </c>
      <c r="C21" s="202" t="s">
        <v>488</v>
      </c>
      <c r="D21" s="189"/>
      <c r="F21" s="151" t="s">
        <v>141</v>
      </c>
      <c r="G21" s="151"/>
      <c r="H21" s="152"/>
      <c r="I21" s="209" t="s">
        <v>489</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0">
    <mergeCell ref="B2:I2"/>
    <mergeCell ref="K2:L2"/>
    <mergeCell ref="C4:D4"/>
    <mergeCell ref="C5:D5"/>
    <mergeCell ref="C6:D6"/>
    <mergeCell ref="B7:C7"/>
    <mergeCell ref="B9:D9"/>
    <mergeCell ref="C16:D16"/>
    <mergeCell ref="C17:D17"/>
    <mergeCell ref="C18:D18"/>
    <mergeCell ref="C19:D19"/>
    <mergeCell ref="C20:D20"/>
    <mergeCell ref="C21:D21"/>
    <mergeCell ref="F10:H10"/>
    <mergeCell ref="I10:I11"/>
    <mergeCell ref="B11:D11"/>
    <mergeCell ref="C12:D12"/>
    <mergeCell ref="C13:D13"/>
    <mergeCell ref="C14:D14"/>
    <mergeCell ref="C15:D15"/>
  </mergeCells>
  <hyperlinks>
    <hyperlink r:id="rId1" ref="B8"/>
  </hyperlinks>
  <printOptions/>
  <pageMargins bottom="0.75" footer="0.0" header="0.0" left="0.7" right="0.7" top="0.75"/>
  <pageSetup paperSize="9" orientation="portrait"/>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3F4F"/>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COUNT(B12:D100)</f>
        <v>30</v>
      </c>
    </row>
    <row r="4">
      <c r="B4" s="33" t="s">
        <v>127</v>
      </c>
      <c r="C4" s="34" t="s">
        <v>128</v>
      </c>
      <c r="K4" s="31" t="s">
        <v>129</v>
      </c>
      <c r="L4" s="32">
        <f>COUNTIF(F12:F100,"X")</f>
        <v>30</v>
      </c>
    </row>
    <row r="5">
      <c r="B5" s="33" t="s">
        <v>130</v>
      </c>
      <c r="C5" s="34" t="s">
        <v>131</v>
      </c>
      <c r="K5" s="31" t="s">
        <v>134</v>
      </c>
      <c r="L5" s="35" t="str">
        <f>PERCENTOF(L4,L3)</f>
        <v>#NAME?</v>
      </c>
    </row>
    <row r="6">
      <c r="B6" s="33" t="s">
        <v>132</v>
      </c>
      <c r="C6" s="34" t="s">
        <v>133</v>
      </c>
    </row>
    <row r="7">
      <c r="B7" s="66" t="s">
        <v>135</v>
      </c>
      <c r="D7" s="34" t="s">
        <v>136</v>
      </c>
    </row>
    <row r="8">
      <c r="B8" s="173" t="s">
        <v>477</v>
      </c>
      <c r="C8" s="66"/>
      <c r="D8" s="34"/>
    </row>
    <row r="9" ht="16.5" customHeight="1">
      <c r="B9" s="174"/>
      <c r="E9" s="175"/>
      <c r="F9" s="175"/>
      <c r="G9" s="175"/>
      <c r="H9" s="175"/>
      <c r="I9" s="175"/>
    </row>
    <row r="10" ht="21.0" customHeight="1">
      <c r="F10" s="37" t="s">
        <v>137</v>
      </c>
      <c r="G10" s="38"/>
      <c r="H10" s="39"/>
      <c r="I10" s="40" t="s">
        <v>250</v>
      </c>
    </row>
    <row r="11" ht="20.25" customHeight="1">
      <c r="B11" s="206" t="s">
        <v>490</v>
      </c>
      <c r="C11" s="27"/>
      <c r="D11" s="27"/>
      <c r="E11" s="43"/>
      <c r="F11" s="44" t="s">
        <v>127</v>
      </c>
      <c r="G11" s="45" t="s">
        <v>130</v>
      </c>
      <c r="H11" s="45" t="s">
        <v>132</v>
      </c>
      <c r="I11" s="46"/>
      <c r="J11" s="67"/>
    </row>
    <row r="12" ht="11.25" customHeight="1">
      <c r="C12" s="177"/>
      <c r="F12" s="147"/>
      <c r="G12" s="147"/>
      <c r="H12" s="147"/>
      <c r="I12" s="147"/>
    </row>
    <row r="13">
      <c r="B13" s="207">
        <v>1.0</v>
      </c>
      <c r="C13" s="194" t="s">
        <v>491</v>
      </c>
      <c r="D13" s="189"/>
      <c r="E13" s="54"/>
      <c r="F13" s="151" t="s">
        <v>141</v>
      </c>
      <c r="G13" s="151"/>
      <c r="H13" s="152"/>
      <c r="I13" s="153"/>
    </row>
    <row r="14">
      <c r="B14" s="210">
        <v>2.0</v>
      </c>
      <c r="C14" s="202" t="s">
        <v>492</v>
      </c>
      <c r="D14" s="189"/>
      <c r="E14" s="211"/>
      <c r="F14" s="151" t="s">
        <v>141</v>
      </c>
      <c r="G14" s="151"/>
      <c r="H14" s="152"/>
      <c r="I14" s="153"/>
    </row>
    <row r="15">
      <c r="B15" s="210">
        <v>3.0</v>
      </c>
      <c r="C15" s="194" t="s">
        <v>493</v>
      </c>
      <c r="D15" s="189"/>
      <c r="E15" s="54"/>
      <c r="F15" s="151" t="s">
        <v>141</v>
      </c>
      <c r="G15" s="151"/>
      <c r="H15" s="152"/>
      <c r="I15" s="153"/>
    </row>
    <row r="16">
      <c r="B16" s="210">
        <v>4.0</v>
      </c>
      <c r="C16" s="203" t="s">
        <v>494</v>
      </c>
      <c r="D16" s="189"/>
      <c r="E16" s="54"/>
      <c r="F16" s="151" t="s">
        <v>141</v>
      </c>
      <c r="G16" s="151"/>
      <c r="H16" s="152"/>
      <c r="I16" s="153"/>
    </row>
    <row r="17">
      <c r="B17" s="210">
        <v>5.0</v>
      </c>
      <c r="C17" s="203" t="s">
        <v>495</v>
      </c>
      <c r="D17" s="189"/>
      <c r="E17" s="54"/>
      <c r="F17" s="151" t="s">
        <v>141</v>
      </c>
      <c r="G17" s="151"/>
      <c r="H17" s="152"/>
      <c r="I17" s="153"/>
    </row>
    <row r="18" ht="18.75" customHeight="1">
      <c r="B18" s="21">
        <v>6.0</v>
      </c>
      <c r="C18" s="194" t="s">
        <v>496</v>
      </c>
      <c r="D18" s="189"/>
      <c r="F18" s="151" t="s">
        <v>141</v>
      </c>
      <c r="G18" s="151"/>
      <c r="H18" s="152"/>
      <c r="I18" s="153"/>
    </row>
    <row r="19" ht="18.75" customHeight="1">
      <c r="B19" s="21">
        <v>7.0</v>
      </c>
      <c r="C19" s="202" t="s">
        <v>497</v>
      </c>
      <c r="D19" s="189"/>
      <c r="F19" s="151" t="s">
        <v>141</v>
      </c>
      <c r="G19" s="151"/>
      <c r="H19" s="152"/>
      <c r="I19" s="153"/>
    </row>
    <row r="20" ht="18.75" customHeight="1">
      <c r="B20" s="21">
        <v>8.0</v>
      </c>
      <c r="C20" s="194" t="s">
        <v>498</v>
      </c>
      <c r="D20" s="189"/>
      <c r="F20" s="151" t="s">
        <v>141</v>
      </c>
      <c r="G20" s="151"/>
      <c r="H20" s="152"/>
      <c r="I20" s="153"/>
    </row>
    <row r="21" ht="18.75" customHeight="1">
      <c r="B21" s="21">
        <v>9.0</v>
      </c>
      <c r="C21" s="203" t="s">
        <v>499</v>
      </c>
      <c r="D21" s="189"/>
      <c r="F21" s="151" t="s">
        <v>141</v>
      </c>
      <c r="G21" s="151"/>
      <c r="H21" s="152"/>
      <c r="I21" s="153"/>
    </row>
    <row r="22" ht="18.75" customHeight="1">
      <c r="B22" s="21">
        <v>10.0</v>
      </c>
      <c r="C22" s="203" t="s">
        <v>500</v>
      </c>
      <c r="D22" s="189"/>
      <c r="F22" s="151" t="s">
        <v>141</v>
      </c>
      <c r="G22" s="151"/>
      <c r="H22" s="152"/>
      <c r="I22" s="153"/>
    </row>
    <row r="23" ht="18.75" customHeight="1">
      <c r="B23" s="21">
        <v>11.0</v>
      </c>
      <c r="C23" s="194" t="s">
        <v>501</v>
      </c>
      <c r="D23" s="189"/>
      <c r="F23" s="151" t="s">
        <v>141</v>
      </c>
      <c r="G23" s="151"/>
      <c r="H23" s="152"/>
      <c r="I23" s="153"/>
    </row>
    <row r="24" ht="18.75" customHeight="1">
      <c r="B24" s="21">
        <v>12.0</v>
      </c>
      <c r="C24" s="202" t="s">
        <v>502</v>
      </c>
      <c r="D24" s="189"/>
      <c r="F24" s="151" t="s">
        <v>141</v>
      </c>
      <c r="G24" s="151"/>
      <c r="H24" s="152"/>
      <c r="I24" s="153"/>
    </row>
    <row r="25" ht="18.75" customHeight="1">
      <c r="B25" s="21">
        <v>13.0</v>
      </c>
      <c r="C25" s="194" t="s">
        <v>503</v>
      </c>
      <c r="D25" s="189"/>
      <c r="F25" s="151" t="s">
        <v>141</v>
      </c>
      <c r="G25" s="151"/>
      <c r="H25" s="152"/>
      <c r="I25" s="153"/>
    </row>
    <row r="26" ht="18.75" customHeight="1">
      <c r="B26" s="21">
        <v>14.0</v>
      </c>
      <c r="C26" s="203" t="s">
        <v>504</v>
      </c>
      <c r="D26" s="189"/>
      <c r="F26" s="151" t="s">
        <v>141</v>
      </c>
      <c r="G26" s="151"/>
      <c r="H26" s="152"/>
      <c r="I26" s="153"/>
    </row>
    <row r="27" ht="18.75" customHeight="1">
      <c r="B27" s="21">
        <v>15.0</v>
      </c>
      <c r="C27" s="203" t="s">
        <v>505</v>
      </c>
      <c r="D27" s="189"/>
      <c r="F27" s="151" t="s">
        <v>141</v>
      </c>
      <c r="G27" s="151"/>
      <c r="H27" s="152"/>
      <c r="I27" s="153"/>
    </row>
    <row r="28" ht="18.75" customHeight="1">
      <c r="B28" s="21">
        <v>16.0</v>
      </c>
      <c r="C28" s="194" t="s">
        <v>506</v>
      </c>
      <c r="D28" s="189"/>
      <c r="F28" s="151" t="s">
        <v>141</v>
      </c>
      <c r="G28" s="151"/>
      <c r="H28" s="152"/>
      <c r="I28" s="153"/>
    </row>
    <row r="29" ht="18.75" customHeight="1">
      <c r="B29" s="21">
        <v>17.0</v>
      </c>
      <c r="C29" s="202" t="s">
        <v>507</v>
      </c>
      <c r="D29" s="189"/>
      <c r="F29" s="151" t="s">
        <v>141</v>
      </c>
      <c r="G29" s="151"/>
      <c r="H29" s="152"/>
      <c r="I29" s="153"/>
    </row>
    <row r="30" ht="18.75" customHeight="1">
      <c r="B30" s="21">
        <v>18.0</v>
      </c>
      <c r="C30" s="194" t="s">
        <v>508</v>
      </c>
      <c r="D30" s="189"/>
      <c r="F30" s="151" t="s">
        <v>141</v>
      </c>
      <c r="G30" s="151"/>
      <c r="H30" s="152"/>
      <c r="I30" s="153"/>
    </row>
    <row r="31" ht="18.75" customHeight="1">
      <c r="B31" s="21">
        <v>19.0</v>
      </c>
      <c r="C31" s="203" t="s">
        <v>509</v>
      </c>
      <c r="D31" s="189"/>
      <c r="F31" s="151" t="s">
        <v>141</v>
      </c>
      <c r="G31" s="151"/>
      <c r="H31" s="152"/>
      <c r="I31" s="153"/>
    </row>
    <row r="32" ht="18.75" customHeight="1">
      <c r="B32" s="21">
        <v>20.0</v>
      </c>
      <c r="C32" s="203" t="s">
        <v>510</v>
      </c>
      <c r="D32" s="189"/>
      <c r="F32" s="151" t="s">
        <v>141</v>
      </c>
      <c r="G32" s="151"/>
      <c r="H32" s="152"/>
      <c r="I32" s="153"/>
    </row>
    <row r="33" ht="18.75" customHeight="1">
      <c r="B33" s="21">
        <v>21.0</v>
      </c>
      <c r="C33" s="194" t="s">
        <v>511</v>
      </c>
      <c r="D33" s="189"/>
      <c r="F33" s="151" t="s">
        <v>141</v>
      </c>
      <c r="G33" s="151"/>
      <c r="H33" s="152"/>
      <c r="I33" s="153"/>
    </row>
    <row r="34" ht="18.75" customHeight="1">
      <c r="B34" s="21">
        <v>22.0</v>
      </c>
      <c r="C34" s="202" t="s">
        <v>512</v>
      </c>
      <c r="D34" s="189"/>
      <c r="F34" s="151" t="s">
        <v>141</v>
      </c>
      <c r="G34" s="151"/>
      <c r="H34" s="152"/>
      <c r="I34" s="153"/>
    </row>
    <row r="35" ht="18.75" customHeight="1">
      <c r="B35" s="21">
        <v>23.0</v>
      </c>
      <c r="C35" s="194" t="s">
        <v>513</v>
      </c>
      <c r="D35" s="189"/>
      <c r="F35" s="151" t="s">
        <v>141</v>
      </c>
      <c r="G35" s="151"/>
      <c r="H35" s="152"/>
      <c r="I35" s="153"/>
    </row>
    <row r="36" ht="18.75" customHeight="1">
      <c r="B36" s="21">
        <v>24.0</v>
      </c>
      <c r="C36" s="203" t="s">
        <v>514</v>
      </c>
      <c r="D36" s="189"/>
      <c r="F36" s="151" t="s">
        <v>141</v>
      </c>
      <c r="G36" s="151"/>
      <c r="H36" s="152"/>
      <c r="I36" s="153"/>
    </row>
    <row r="37" ht="18.75" customHeight="1">
      <c r="B37" s="21">
        <v>25.0</v>
      </c>
      <c r="C37" s="203" t="s">
        <v>515</v>
      </c>
      <c r="D37" s="189"/>
      <c r="F37" s="151" t="s">
        <v>141</v>
      </c>
      <c r="G37" s="151"/>
      <c r="H37" s="152"/>
      <c r="I37" s="153"/>
    </row>
    <row r="38" ht="18.75" customHeight="1">
      <c r="B38" s="21">
        <v>26.0</v>
      </c>
      <c r="C38" s="194" t="s">
        <v>516</v>
      </c>
      <c r="D38" s="189"/>
      <c r="F38" s="151" t="s">
        <v>141</v>
      </c>
      <c r="G38" s="151"/>
      <c r="H38" s="152"/>
      <c r="I38" s="153"/>
    </row>
    <row r="39" ht="18.75" customHeight="1">
      <c r="B39" s="21">
        <v>27.0</v>
      </c>
      <c r="C39" s="202" t="s">
        <v>517</v>
      </c>
      <c r="D39" s="189"/>
      <c r="F39" s="151" t="s">
        <v>141</v>
      </c>
      <c r="G39" s="151"/>
      <c r="H39" s="152"/>
      <c r="I39" s="153"/>
    </row>
    <row r="40" ht="18.75" customHeight="1">
      <c r="B40" s="21">
        <v>28.0</v>
      </c>
      <c r="C40" s="194" t="s">
        <v>518</v>
      </c>
      <c r="D40" s="189"/>
      <c r="F40" s="151" t="s">
        <v>141</v>
      </c>
      <c r="G40" s="151"/>
      <c r="H40" s="152"/>
      <c r="I40" s="153"/>
    </row>
    <row r="41" ht="18.75" customHeight="1">
      <c r="B41" s="21">
        <v>29.0</v>
      </c>
      <c r="C41" s="203" t="s">
        <v>519</v>
      </c>
      <c r="D41" s="189"/>
      <c r="F41" s="151" t="s">
        <v>141</v>
      </c>
      <c r="G41" s="151"/>
      <c r="H41" s="152"/>
      <c r="I41" s="153"/>
    </row>
    <row r="42" ht="18.75" customHeight="1">
      <c r="B42" s="21">
        <v>30.0</v>
      </c>
      <c r="C42" s="203" t="s">
        <v>520</v>
      </c>
      <c r="D42" s="189"/>
      <c r="F42" s="151" t="s">
        <v>141</v>
      </c>
      <c r="G42" s="151"/>
      <c r="H42" s="152"/>
      <c r="I42" s="153"/>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7:D37"/>
    <mergeCell ref="C38:D38"/>
    <mergeCell ref="C39:D39"/>
    <mergeCell ref="C40:D40"/>
    <mergeCell ref="C41:D41"/>
    <mergeCell ref="C42:D42"/>
    <mergeCell ref="C30:D30"/>
    <mergeCell ref="C31:D31"/>
    <mergeCell ref="C32:D32"/>
    <mergeCell ref="C33:D33"/>
    <mergeCell ref="C34:D34"/>
    <mergeCell ref="C35:D35"/>
    <mergeCell ref="C36:D36"/>
  </mergeCells>
  <hyperlinks>
    <hyperlink r:id="rId1" ref="B8"/>
  </hyperlinks>
  <printOptions/>
  <pageMargins bottom="0.75" footer="0.0" header="0.0" left="0.7" right="0.7" top="0.75"/>
  <pageSetup paperSize="9" orientation="portrait"/>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F2F2"/>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69.0"/>
    <col customWidth="1" min="5" max="5" width="4.29"/>
    <col customWidth="1" min="6" max="8" width="7.14"/>
    <col customWidth="1" min="9" max="9" width="85.71"/>
    <col customWidth="1" min="10" max="10" width="9.14"/>
    <col customWidth="1" min="11" max="11" width="14.14"/>
    <col customWidth="1" min="12" max="26" width="11.43"/>
  </cols>
  <sheetData>
    <row r="1">
      <c r="A1" s="21" t="s">
        <v>521</v>
      </c>
    </row>
    <row r="2" ht="21.75" customHeight="1">
      <c r="B2" s="26" t="s">
        <v>124</v>
      </c>
      <c r="C2" s="27"/>
      <c r="D2" s="27"/>
      <c r="E2" s="27"/>
      <c r="F2" s="27"/>
      <c r="G2" s="27"/>
      <c r="H2" s="27"/>
      <c r="I2" s="27"/>
      <c r="K2" s="206" t="s">
        <v>125</v>
      </c>
      <c r="L2" s="27"/>
    </row>
    <row r="3" ht="15.0" customHeight="1">
      <c r="K3" s="31" t="s">
        <v>126</v>
      </c>
      <c r="L3" s="32">
        <f>COUNT(B12:D73)</f>
        <v>8</v>
      </c>
    </row>
    <row r="4">
      <c r="B4" s="33" t="s">
        <v>127</v>
      </c>
      <c r="C4" s="34" t="s">
        <v>128</v>
      </c>
      <c r="K4" s="31" t="s">
        <v>129</v>
      </c>
      <c r="L4" s="32">
        <f>COUNTIF(F12:F73,"X")</f>
        <v>8</v>
      </c>
    </row>
    <row r="5">
      <c r="B5" s="33" t="s">
        <v>130</v>
      </c>
      <c r="C5" s="34" t="s">
        <v>131</v>
      </c>
      <c r="K5" s="31" t="s">
        <v>134</v>
      </c>
      <c r="L5" s="35" t="str">
        <f>PERCENTOF(L4,L3)</f>
        <v>#NAME?</v>
      </c>
    </row>
    <row r="6">
      <c r="B6" s="33" t="s">
        <v>132</v>
      </c>
      <c r="C6" s="34" t="s">
        <v>133</v>
      </c>
    </row>
    <row r="7">
      <c r="B7" s="66" t="s">
        <v>135</v>
      </c>
      <c r="D7" s="34" t="s">
        <v>136</v>
      </c>
    </row>
    <row r="8">
      <c r="B8" s="173"/>
      <c r="C8" s="66"/>
      <c r="D8" s="34"/>
    </row>
    <row r="9" ht="16.5" customHeight="1">
      <c r="B9" s="174"/>
      <c r="E9" s="175"/>
      <c r="F9" s="175"/>
      <c r="G9" s="175"/>
      <c r="H9" s="175"/>
      <c r="I9" s="175"/>
    </row>
    <row r="10" ht="21.0" customHeight="1">
      <c r="F10" s="37" t="s">
        <v>137</v>
      </c>
      <c r="G10" s="38"/>
      <c r="H10" s="39"/>
      <c r="I10" s="40" t="s">
        <v>250</v>
      </c>
    </row>
    <row r="11" ht="20.25" customHeight="1">
      <c r="B11" s="206" t="s">
        <v>522</v>
      </c>
      <c r="C11" s="27"/>
      <c r="D11" s="27"/>
      <c r="E11" s="43"/>
      <c r="F11" s="44" t="s">
        <v>127</v>
      </c>
      <c r="G11" s="45" t="s">
        <v>130</v>
      </c>
      <c r="H11" s="45" t="s">
        <v>132</v>
      </c>
      <c r="I11" s="46"/>
      <c r="J11" s="67"/>
    </row>
    <row r="12" ht="11.25" customHeight="1">
      <c r="C12" s="177"/>
      <c r="F12" s="147"/>
      <c r="G12" s="147"/>
      <c r="H12" s="147"/>
      <c r="I12" s="147"/>
    </row>
    <row r="13">
      <c r="B13" s="207">
        <v>1.0</v>
      </c>
      <c r="C13" s="194" t="s">
        <v>523</v>
      </c>
      <c r="D13" s="189"/>
      <c r="E13" s="54"/>
      <c r="F13" s="151" t="s">
        <v>141</v>
      </c>
      <c r="G13" s="151"/>
      <c r="H13" s="152"/>
      <c r="I13" s="209" t="s">
        <v>255</v>
      </c>
    </row>
    <row r="14">
      <c r="B14" s="210">
        <v>2.0</v>
      </c>
      <c r="C14" s="202" t="s">
        <v>524</v>
      </c>
      <c r="D14" s="189"/>
      <c r="E14" s="211"/>
      <c r="F14" s="151" t="s">
        <v>141</v>
      </c>
      <c r="G14" s="151"/>
      <c r="H14" s="152"/>
      <c r="I14" s="209" t="s">
        <v>255</v>
      </c>
    </row>
    <row r="15">
      <c r="B15" s="210">
        <v>3.0</v>
      </c>
      <c r="C15" s="194" t="s">
        <v>525</v>
      </c>
      <c r="D15" s="189"/>
      <c r="E15" s="54"/>
      <c r="F15" s="151" t="s">
        <v>141</v>
      </c>
      <c r="G15" s="151"/>
      <c r="H15" s="152"/>
      <c r="I15" s="209" t="s">
        <v>255</v>
      </c>
    </row>
    <row r="16">
      <c r="B16" s="210">
        <v>4.0</v>
      </c>
      <c r="C16" s="203" t="s">
        <v>526</v>
      </c>
      <c r="D16" s="189"/>
      <c r="E16" s="54"/>
      <c r="F16" s="151" t="s">
        <v>141</v>
      </c>
      <c r="G16" s="151"/>
      <c r="H16" s="152"/>
      <c r="I16" s="209" t="s">
        <v>255</v>
      </c>
    </row>
    <row r="17">
      <c r="B17" s="210">
        <v>5.0</v>
      </c>
      <c r="C17" s="203" t="s">
        <v>527</v>
      </c>
      <c r="D17" s="189"/>
      <c r="E17" s="54"/>
      <c r="F17" s="151" t="s">
        <v>141</v>
      </c>
      <c r="G17" s="151"/>
      <c r="H17" s="152"/>
      <c r="I17" s="209" t="s">
        <v>255</v>
      </c>
    </row>
    <row r="18" ht="18.75" customHeight="1">
      <c r="B18" s="207">
        <v>6.0</v>
      </c>
      <c r="C18" s="194" t="s">
        <v>528</v>
      </c>
      <c r="D18" s="189"/>
      <c r="F18" s="151" t="s">
        <v>141</v>
      </c>
      <c r="G18" s="151"/>
      <c r="H18" s="152"/>
      <c r="I18" s="209" t="s">
        <v>255</v>
      </c>
    </row>
    <row r="19" ht="18.75" customHeight="1">
      <c r="B19" s="210">
        <v>7.0</v>
      </c>
      <c r="C19" s="202" t="s">
        <v>529</v>
      </c>
      <c r="D19" s="189"/>
      <c r="F19" s="151" t="s">
        <v>141</v>
      </c>
      <c r="G19" s="151"/>
      <c r="H19" s="152"/>
      <c r="I19" s="209" t="s">
        <v>255</v>
      </c>
    </row>
    <row r="20" ht="18.75" customHeight="1">
      <c r="B20" s="210">
        <v>8.0</v>
      </c>
      <c r="C20" s="194" t="s">
        <v>530</v>
      </c>
      <c r="D20" s="189"/>
      <c r="F20" s="151" t="s">
        <v>141</v>
      </c>
      <c r="G20" s="151"/>
      <c r="H20" s="152"/>
      <c r="I20" s="209" t="s">
        <v>255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9">
    <mergeCell ref="B2:I2"/>
    <mergeCell ref="K2:L2"/>
    <mergeCell ref="C4:D4"/>
    <mergeCell ref="C5:D5"/>
    <mergeCell ref="C6:D6"/>
    <mergeCell ref="B7:C7"/>
    <mergeCell ref="B9:D9"/>
    <mergeCell ref="C16:D16"/>
    <mergeCell ref="C17:D17"/>
    <mergeCell ref="C18:D18"/>
    <mergeCell ref="C19:D19"/>
    <mergeCell ref="C20:D20"/>
    <mergeCell ref="F10:H10"/>
    <mergeCell ref="I10:I11"/>
    <mergeCell ref="B11:D11"/>
    <mergeCell ref="C12:D12"/>
    <mergeCell ref="C13:D13"/>
    <mergeCell ref="C14:D14"/>
    <mergeCell ref="C15:D15"/>
  </mergeCells>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F2F2"/>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55.71"/>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COUNT(B12:D100)</f>
        <v>30</v>
      </c>
    </row>
    <row r="4">
      <c r="B4" s="33" t="s">
        <v>127</v>
      </c>
      <c r="C4" s="34" t="s">
        <v>128</v>
      </c>
      <c r="K4" s="31" t="s">
        <v>129</v>
      </c>
      <c r="L4" s="32">
        <f>COUNTIF(F12:F100,"X")</f>
        <v>30</v>
      </c>
    </row>
    <row r="5">
      <c r="B5" s="33" t="s">
        <v>130</v>
      </c>
      <c r="C5" s="34" t="s">
        <v>131</v>
      </c>
      <c r="K5" s="31" t="s">
        <v>134</v>
      </c>
      <c r="L5" s="35" t="str">
        <f>PERCENTOF(L4,L3)</f>
        <v>#NAME?</v>
      </c>
    </row>
    <row r="6">
      <c r="B6" s="33" t="s">
        <v>132</v>
      </c>
      <c r="C6" s="34" t="s">
        <v>133</v>
      </c>
    </row>
    <row r="7">
      <c r="B7" s="66" t="s">
        <v>135</v>
      </c>
      <c r="D7" s="34" t="s">
        <v>136</v>
      </c>
    </row>
    <row r="8">
      <c r="B8" s="173"/>
      <c r="C8" s="66"/>
      <c r="D8" s="34"/>
    </row>
    <row r="9" ht="16.5" customHeight="1">
      <c r="B9" s="174"/>
      <c r="E9" s="175"/>
      <c r="F9" s="175"/>
      <c r="G9" s="175"/>
      <c r="H9" s="175"/>
      <c r="I9" s="175"/>
    </row>
    <row r="10" ht="21.0" customHeight="1">
      <c r="F10" s="37" t="s">
        <v>137</v>
      </c>
      <c r="G10" s="38"/>
      <c r="H10" s="39"/>
      <c r="I10" s="40" t="s">
        <v>250</v>
      </c>
    </row>
    <row r="11" ht="20.25" customHeight="1">
      <c r="B11" s="206" t="s">
        <v>531</v>
      </c>
      <c r="C11" s="27"/>
      <c r="D11" s="27"/>
      <c r="E11" s="43"/>
      <c r="F11" s="44" t="s">
        <v>127</v>
      </c>
      <c r="G11" s="45" t="s">
        <v>130</v>
      </c>
      <c r="H11" s="45" t="s">
        <v>132</v>
      </c>
      <c r="I11" s="46"/>
      <c r="J11" s="67"/>
    </row>
    <row r="12" ht="11.25" customHeight="1">
      <c r="C12" s="177"/>
      <c r="F12" s="147"/>
      <c r="G12" s="147"/>
      <c r="H12" s="147"/>
      <c r="I12" s="147"/>
    </row>
    <row r="13">
      <c r="B13" s="207">
        <v>1.0</v>
      </c>
      <c r="C13" s="194" t="s">
        <v>532</v>
      </c>
      <c r="D13" s="189"/>
      <c r="E13" s="54"/>
      <c r="F13" s="151" t="s">
        <v>141</v>
      </c>
      <c r="G13" s="151"/>
      <c r="H13" s="152"/>
      <c r="I13" s="153"/>
    </row>
    <row r="14">
      <c r="B14" s="210">
        <v>2.0</v>
      </c>
      <c r="C14" s="202" t="s">
        <v>533</v>
      </c>
      <c r="D14" s="189"/>
      <c r="E14" s="211"/>
      <c r="F14" s="151" t="s">
        <v>141</v>
      </c>
      <c r="G14" s="151"/>
      <c r="H14" s="152"/>
      <c r="I14" s="153"/>
    </row>
    <row r="15">
      <c r="B15" s="210">
        <v>3.0</v>
      </c>
      <c r="C15" s="194" t="s">
        <v>534</v>
      </c>
      <c r="D15" s="189"/>
      <c r="E15" s="54"/>
      <c r="F15" s="151" t="s">
        <v>141</v>
      </c>
      <c r="G15" s="151"/>
      <c r="H15" s="152"/>
      <c r="I15" s="153"/>
    </row>
    <row r="16">
      <c r="B16" s="210">
        <v>4.0</v>
      </c>
      <c r="C16" s="203" t="s">
        <v>535</v>
      </c>
      <c r="D16" s="189"/>
      <c r="E16" s="54"/>
      <c r="F16" s="151" t="s">
        <v>141</v>
      </c>
      <c r="G16" s="151"/>
      <c r="H16" s="152"/>
      <c r="I16" s="153"/>
    </row>
    <row r="17">
      <c r="B17" s="210">
        <v>5.0</v>
      </c>
      <c r="C17" s="203" t="s">
        <v>536</v>
      </c>
      <c r="D17" s="189"/>
      <c r="E17" s="54"/>
      <c r="F17" s="151" t="s">
        <v>141</v>
      </c>
      <c r="G17" s="151"/>
      <c r="H17" s="152"/>
      <c r="I17" s="153"/>
    </row>
    <row r="18" ht="18.75" customHeight="1">
      <c r="B18" s="207">
        <v>6.0</v>
      </c>
      <c r="C18" s="194" t="s">
        <v>537</v>
      </c>
      <c r="D18" s="189"/>
      <c r="F18" s="151" t="s">
        <v>141</v>
      </c>
      <c r="G18" s="151"/>
      <c r="H18" s="152"/>
      <c r="I18" s="153"/>
    </row>
    <row r="19" ht="18.75" customHeight="1">
      <c r="B19" s="210">
        <v>7.0</v>
      </c>
      <c r="C19" s="202" t="s">
        <v>538</v>
      </c>
      <c r="D19" s="189"/>
      <c r="F19" s="151" t="s">
        <v>141</v>
      </c>
      <c r="G19" s="151"/>
      <c r="H19" s="152"/>
      <c r="I19" s="153"/>
    </row>
    <row r="20" ht="18.75" customHeight="1">
      <c r="B20" s="210">
        <v>8.0</v>
      </c>
      <c r="C20" s="194" t="s">
        <v>539</v>
      </c>
      <c r="D20" s="189"/>
      <c r="F20" s="151" t="s">
        <v>141</v>
      </c>
      <c r="G20" s="151"/>
      <c r="H20" s="152"/>
      <c r="I20" s="153"/>
    </row>
    <row r="21" ht="18.75" customHeight="1">
      <c r="B21" s="210">
        <v>9.0</v>
      </c>
      <c r="C21" s="203" t="s">
        <v>540</v>
      </c>
      <c r="D21" s="189"/>
      <c r="F21" s="151" t="s">
        <v>141</v>
      </c>
      <c r="G21" s="151"/>
      <c r="H21" s="152"/>
      <c r="I21" s="153"/>
    </row>
    <row r="22" ht="18.75" customHeight="1">
      <c r="B22" s="210">
        <v>10.0</v>
      </c>
      <c r="C22" s="203" t="s">
        <v>541</v>
      </c>
      <c r="D22" s="189"/>
      <c r="F22" s="151" t="s">
        <v>141</v>
      </c>
      <c r="G22" s="151"/>
      <c r="H22" s="152"/>
      <c r="I22" s="153"/>
    </row>
    <row r="23" ht="18.75" customHeight="1">
      <c r="B23" s="207">
        <v>11.0</v>
      </c>
      <c r="C23" s="194" t="s">
        <v>542</v>
      </c>
      <c r="D23" s="189"/>
      <c r="F23" s="151" t="s">
        <v>141</v>
      </c>
      <c r="G23" s="151"/>
      <c r="H23" s="152"/>
      <c r="I23" s="153"/>
    </row>
    <row r="24" ht="18.75" customHeight="1">
      <c r="B24" s="210">
        <v>12.0</v>
      </c>
      <c r="C24" s="202" t="s">
        <v>543</v>
      </c>
      <c r="D24" s="189"/>
      <c r="F24" s="151" t="s">
        <v>141</v>
      </c>
      <c r="G24" s="151"/>
      <c r="H24" s="152"/>
      <c r="I24" s="153"/>
    </row>
    <row r="25" ht="18.75" customHeight="1">
      <c r="B25" s="210">
        <v>13.0</v>
      </c>
      <c r="C25" s="194" t="s">
        <v>544</v>
      </c>
      <c r="D25" s="189"/>
      <c r="F25" s="151" t="s">
        <v>141</v>
      </c>
      <c r="G25" s="151"/>
      <c r="H25" s="152"/>
      <c r="I25" s="153"/>
    </row>
    <row r="26" ht="18.75" customHeight="1">
      <c r="B26" s="210">
        <v>14.0</v>
      </c>
      <c r="C26" s="203" t="s">
        <v>545</v>
      </c>
      <c r="D26" s="189"/>
      <c r="F26" s="151" t="s">
        <v>141</v>
      </c>
      <c r="G26" s="151"/>
      <c r="H26" s="152"/>
      <c r="I26" s="153"/>
    </row>
    <row r="27" ht="18.75" customHeight="1">
      <c r="B27" s="210">
        <v>15.0</v>
      </c>
      <c r="C27" s="203" t="s">
        <v>546</v>
      </c>
      <c r="D27" s="189"/>
      <c r="F27" s="151" t="s">
        <v>141</v>
      </c>
      <c r="G27" s="151"/>
      <c r="H27" s="152"/>
      <c r="I27" s="153"/>
    </row>
    <row r="28" ht="18.75" customHeight="1">
      <c r="B28" s="207">
        <v>16.0</v>
      </c>
      <c r="C28" s="194" t="s">
        <v>547</v>
      </c>
      <c r="D28" s="189"/>
      <c r="F28" s="151" t="s">
        <v>141</v>
      </c>
      <c r="G28" s="151"/>
      <c r="H28" s="152"/>
      <c r="I28" s="153"/>
    </row>
    <row r="29" ht="18.75" customHeight="1">
      <c r="B29" s="210">
        <v>17.0</v>
      </c>
      <c r="C29" s="202" t="s">
        <v>548</v>
      </c>
      <c r="D29" s="189"/>
      <c r="F29" s="151" t="s">
        <v>141</v>
      </c>
      <c r="G29" s="151"/>
      <c r="H29" s="152"/>
      <c r="I29" s="153"/>
    </row>
    <row r="30" ht="18.75" customHeight="1">
      <c r="B30" s="210">
        <v>18.0</v>
      </c>
      <c r="C30" s="194" t="s">
        <v>549</v>
      </c>
      <c r="D30" s="189"/>
      <c r="F30" s="151" t="s">
        <v>141</v>
      </c>
      <c r="G30" s="151"/>
      <c r="H30" s="152"/>
      <c r="I30" s="153"/>
    </row>
    <row r="31" ht="18.75" customHeight="1">
      <c r="B31" s="210">
        <v>19.0</v>
      </c>
      <c r="C31" s="203" t="s">
        <v>550</v>
      </c>
      <c r="D31" s="189"/>
      <c r="F31" s="151" t="s">
        <v>141</v>
      </c>
      <c r="G31" s="151"/>
      <c r="H31" s="152"/>
      <c r="I31" s="153"/>
    </row>
    <row r="32" ht="18.75" customHeight="1">
      <c r="B32" s="210">
        <v>20.0</v>
      </c>
      <c r="C32" s="203" t="s">
        <v>551</v>
      </c>
      <c r="D32" s="189"/>
      <c r="F32" s="151" t="s">
        <v>141</v>
      </c>
      <c r="G32" s="151"/>
      <c r="H32" s="152"/>
      <c r="I32" s="153"/>
    </row>
    <row r="33" ht="18.75" customHeight="1">
      <c r="B33" s="207">
        <v>21.0</v>
      </c>
      <c r="C33" s="194" t="s">
        <v>552</v>
      </c>
      <c r="D33" s="189"/>
      <c r="F33" s="151" t="s">
        <v>141</v>
      </c>
      <c r="G33" s="151"/>
      <c r="H33" s="152"/>
      <c r="I33" s="153"/>
    </row>
    <row r="34" ht="18.75" customHeight="1">
      <c r="B34" s="210">
        <v>22.0</v>
      </c>
      <c r="C34" s="202" t="s">
        <v>553</v>
      </c>
      <c r="D34" s="189"/>
      <c r="F34" s="151" t="s">
        <v>141</v>
      </c>
      <c r="G34" s="151"/>
      <c r="H34" s="152"/>
      <c r="I34" s="153"/>
    </row>
    <row r="35" ht="18.75" customHeight="1">
      <c r="B35" s="210">
        <v>23.0</v>
      </c>
      <c r="C35" s="194" t="s">
        <v>554</v>
      </c>
      <c r="D35" s="189"/>
      <c r="F35" s="151" t="s">
        <v>141</v>
      </c>
      <c r="G35" s="151"/>
      <c r="H35" s="152"/>
      <c r="I35" s="153"/>
    </row>
    <row r="36" ht="18.75" customHeight="1">
      <c r="B36" s="210">
        <v>24.0</v>
      </c>
      <c r="C36" s="203" t="s">
        <v>555</v>
      </c>
      <c r="D36" s="189"/>
      <c r="F36" s="151" t="s">
        <v>141</v>
      </c>
      <c r="G36" s="151"/>
      <c r="H36" s="152"/>
      <c r="I36" s="153"/>
    </row>
    <row r="37" ht="18.75" customHeight="1">
      <c r="B37" s="210">
        <v>25.0</v>
      </c>
      <c r="C37" s="203" t="s">
        <v>515</v>
      </c>
      <c r="D37" s="189"/>
      <c r="F37" s="151" t="s">
        <v>141</v>
      </c>
      <c r="G37" s="151"/>
      <c r="H37" s="152"/>
      <c r="I37" s="153"/>
    </row>
    <row r="38" ht="18.75" customHeight="1">
      <c r="B38" s="207">
        <v>26.0</v>
      </c>
      <c r="C38" s="194" t="s">
        <v>516</v>
      </c>
      <c r="D38" s="189"/>
      <c r="F38" s="151" t="s">
        <v>141</v>
      </c>
      <c r="G38" s="151"/>
      <c r="H38" s="152"/>
      <c r="I38" s="153"/>
    </row>
    <row r="39" ht="18.75" customHeight="1">
      <c r="B39" s="210">
        <v>27.0</v>
      </c>
      <c r="C39" s="202" t="s">
        <v>517</v>
      </c>
      <c r="D39" s="189"/>
      <c r="F39" s="151" t="s">
        <v>141</v>
      </c>
      <c r="G39" s="151"/>
      <c r="H39" s="152"/>
      <c r="I39" s="153"/>
    </row>
    <row r="40" ht="18.75" customHeight="1">
      <c r="B40" s="210">
        <v>28.0</v>
      </c>
      <c r="C40" s="194" t="s">
        <v>518</v>
      </c>
      <c r="D40" s="189"/>
      <c r="F40" s="151" t="s">
        <v>141</v>
      </c>
      <c r="G40" s="151"/>
      <c r="H40" s="152"/>
      <c r="I40" s="153"/>
    </row>
    <row r="41" ht="18.75" customHeight="1">
      <c r="B41" s="210">
        <v>29.0</v>
      </c>
      <c r="C41" s="203" t="s">
        <v>519</v>
      </c>
      <c r="D41" s="189"/>
      <c r="F41" s="151" t="s">
        <v>141</v>
      </c>
      <c r="G41" s="151"/>
      <c r="H41" s="152"/>
      <c r="I41" s="153"/>
    </row>
    <row r="42" ht="18.75" customHeight="1">
      <c r="B42" s="210">
        <v>30.0</v>
      </c>
      <c r="C42" s="203" t="s">
        <v>520</v>
      </c>
      <c r="D42" s="189"/>
      <c r="F42" s="151" t="s">
        <v>141</v>
      </c>
      <c r="G42" s="151"/>
      <c r="H42" s="152"/>
      <c r="I42" s="153"/>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7:D37"/>
    <mergeCell ref="C38:D38"/>
    <mergeCell ref="C39:D39"/>
    <mergeCell ref="C40:D40"/>
    <mergeCell ref="C41:D41"/>
    <mergeCell ref="C42:D42"/>
    <mergeCell ref="C30:D30"/>
    <mergeCell ref="C31:D31"/>
    <mergeCell ref="C32:D32"/>
    <mergeCell ref="C33:D33"/>
    <mergeCell ref="C34:D34"/>
    <mergeCell ref="C35:D35"/>
    <mergeCell ref="C36:D36"/>
  </mergeCells>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1">
      <c r="A1" s="21" t="s">
        <v>521</v>
      </c>
    </row>
    <row r="2" ht="21.75" customHeight="1">
      <c r="B2" s="26" t="s">
        <v>124</v>
      </c>
      <c r="C2" s="27"/>
      <c r="D2" s="27"/>
      <c r="E2" s="27"/>
      <c r="F2" s="27"/>
      <c r="G2" s="27"/>
      <c r="H2" s="27"/>
      <c r="I2" s="27"/>
      <c r="K2" s="206" t="s">
        <v>125</v>
      </c>
      <c r="L2" s="27"/>
    </row>
    <row r="3" ht="15.0" customHeight="1">
      <c r="K3" s="31" t="s">
        <v>126</v>
      </c>
      <c r="L3" s="32">
        <f>COUNT(B12:D75)</f>
        <v>8</v>
      </c>
    </row>
    <row r="4">
      <c r="B4" s="33" t="s">
        <v>127</v>
      </c>
      <c r="C4" s="34" t="s">
        <v>128</v>
      </c>
      <c r="K4" s="31" t="s">
        <v>129</v>
      </c>
      <c r="L4" s="32">
        <f>COUNTIF(F12:F75,"X")</f>
        <v>8</v>
      </c>
    </row>
    <row r="5">
      <c r="B5" s="33" t="s">
        <v>130</v>
      </c>
      <c r="C5" s="34" t="s">
        <v>131</v>
      </c>
      <c r="K5" s="31" t="s">
        <v>134</v>
      </c>
      <c r="L5" s="35" t="str">
        <f>PERCENTOF(L4,L3)</f>
        <v>#NAME?</v>
      </c>
    </row>
    <row r="6">
      <c r="B6" s="33" t="s">
        <v>132</v>
      </c>
      <c r="C6" s="34" t="s">
        <v>133</v>
      </c>
    </row>
    <row r="7">
      <c r="B7" s="66" t="s">
        <v>135</v>
      </c>
      <c r="D7" s="34" t="s">
        <v>136</v>
      </c>
    </row>
    <row r="8">
      <c r="B8" s="173"/>
      <c r="C8" s="66"/>
      <c r="D8" s="34"/>
    </row>
    <row r="9" ht="16.5" customHeight="1">
      <c r="B9" s="174"/>
      <c r="E9" s="175"/>
      <c r="F9" s="175"/>
      <c r="G9" s="175"/>
      <c r="H9" s="175"/>
      <c r="I9" s="175"/>
    </row>
    <row r="10" ht="21.0" customHeight="1">
      <c r="F10" s="37" t="s">
        <v>137</v>
      </c>
      <c r="G10" s="38"/>
      <c r="H10" s="39"/>
      <c r="I10" s="40" t="s">
        <v>250</v>
      </c>
    </row>
    <row r="11" ht="20.25" customHeight="1">
      <c r="B11" s="206" t="s">
        <v>556</v>
      </c>
      <c r="C11" s="27"/>
      <c r="D11" s="27"/>
      <c r="E11" s="43"/>
      <c r="F11" s="44" t="s">
        <v>127</v>
      </c>
      <c r="G11" s="45" t="s">
        <v>130</v>
      </c>
      <c r="H11" s="45" t="s">
        <v>132</v>
      </c>
      <c r="I11" s="46"/>
      <c r="J11" s="67"/>
    </row>
    <row r="12" ht="11.25" customHeight="1">
      <c r="C12" s="177"/>
      <c r="F12" s="147"/>
      <c r="G12" s="147"/>
      <c r="H12" s="147"/>
      <c r="I12" s="147"/>
    </row>
    <row r="13">
      <c r="B13" s="207">
        <v>1.0</v>
      </c>
      <c r="C13" s="194" t="s">
        <v>557</v>
      </c>
      <c r="D13" s="189"/>
      <c r="E13" s="54"/>
      <c r="F13" s="151" t="s">
        <v>141</v>
      </c>
      <c r="G13" s="151"/>
      <c r="H13" s="152"/>
      <c r="I13" s="209" t="s">
        <v>255</v>
      </c>
    </row>
    <row r="14">
      <c r="B14" s="210">
        <v>2.0</v>
      </c>
      <c r="C14" s="202" t="s">
        <v>558</v>
      </c>
      <c r="D14" s="189"/>
      <c r="E14" s="211"/>
      <c r="F14" s="151" t="s">
        <v>141</v>
      </c>
      <c r="G14" s="151"/>
      <c r="H14" s="152"/>
      <c r="I14" s="209" t="s">
        <v>255</v>
      </c>
    </row>
    <row r="15">
      <c r="B15" s="210">
        <v>3.0</v>
      </c>
      <c r="C15" s="194" t="s">
        <v>559</v>
      </c>
      <c r="D15" s="189"/>
      <c r="E15" s="54"/>
      <c r="F15" s="151" t="s">
        <v>141</v>
      </c>
      <c r="G15" s="151"/>
      <c r="H15" s="152"/>
      <c r="I15" s="209" t="s">
        <v>255</v>
      </c>
    </row>
    <row r="16">
      <c r="B16" s="210">
        <v>4.0</v>
      </c>
      <c r="C16" s="203" t="s">
        <v>560</v>
      </c>
      <c r="D16" s="189"/>
      <c r="E16" s="54"/>
      <c r="F16" s="151" t="s">
        <v>141</v>
      </c>
      <c r="G16" s="151"/>
      <c r="H16" s="152"/>
      <c r="I16" s="209" t="s">
        <v>255</v>
      </c>
    </row>
    <row r="17">
      <c r="B17" s="210">
        <v>5.0</v>
      </c>
      <c r="C17" s="203" t="s">
        <v>561</v>
      </c>
      <c r="D17" s="189"/>
      <c r="E17" s="54"/>
      <c r="F17" s="151" t="s">
        <v>141</v>
      </c>
      <c r="G17" s="151"/>
      <c r="H17" s="152"/>
      <c r="I17" s="209" t="s">
        <v>255</v>
      </c>
    </row>
    <row r="18" ht="18.75" customHeight="1">
      <c r="B18" s="207">
        <v>6.0</v>
      </c>
      <c r="C18" s="194" t="s">
        <v>562</v>
      </c>
      <c r="D18" s="189"/>
      <c r="F18" s="151" t="s">
        <v>141</v>
      </c>
      <c r="G18" s="151"/>
      <c r="H18" s="152"/>
      <c r="I18" s="209" t="s">
        <v>255</v>
      </c>
    </row>
    <row r="19" ht="18.75" customHeight="1">
      <c r="B19" s="210">
        <v>7.0</v>
      </c>
      <c r="C19" s="202" t="s">
        <v>563</v>
      </c>
      <c r="D19" s="189"/>
      <c r="F19" s="151" t="s">
        <v>141</v>
      </c>
      <c r="G19" s="151"/>
      <c r="H19" s="152"/>
      <c r="I19" s="209" t="s">
        <v>255</v>
      </c>
    </row>
    <row r="20" ht="18.75" customHeight="1">
      <c r="B20" s="210">
        <v>8.0</v>
      </c>
      <c r="C20" s="194" t="s">
        <v>564</v>
      </c>
      <c r="D20" s="189"/>
      <c r="F20" s="151" t="s">
        <v>141</v>
      </c>
      <c r="G20" s="212" t="s">
        <v>141</v>
      </c>
      <c r="H20" s="152"/>
      <c r="I20" s="209" t="s">
        <v>565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2:I2"/>
    <mergeCell ref="K2:L2"/>
    <mergeCell ref="C4:D4"/>
    <mergeCell ref="C5:D5"/>
    <mergeCell ref="C6:D6"/>
    <mergeCell ref="B7:C7"/>
    <mergeCell ref="B9:D9"/>
    <mergeCell ref="C16:D16"/>
    <mergeCell ref="C17:D17"/>
    <mergeCell ref="C18:D18"/>
    <mergeCell ref="C19:D19"/>
    <mergeCell ref="C20:D20"/>
    <mergeCell ref="F10:H10"/>
    <mergeCell ref="I10:I11"/>
    <mergeCell ref="B11:D11"/>
    <mergeCell ref="C12:D12"/>
    <mergeCell ref="C13:D13"/>
    <mergeCell ref="C14:D14"/>
    <mergeCell ref="C15:D15"/>
  </mergeCells>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COUNT(B12:D94)</f>
        <v>24</v>
      </c>
    </row>
    <row r="4">
      <c r="B4" s="33" t="s">
        <v>127</v>
      </c>
      <c r="C4" s="34" t="s">
        <v>128</v>
      </c>
      <c r="K4" s="31" t="s">
        <v>129</v>
      </c>
      <c r="L4" s="32">
        <f>COUNTIF(F12:F94,"X")</f>
        <v>24</v>
      </c>
    </row>
    <row r="5">
      <c r="B5" s="33" t="s">
        <v>130</v>
      </c>
      <c r="C5" s="34" t="s">
        <v>131</v>
      </c>
      <c r="K5" s="31" t="s">
        <v>134</v>
      </c>
      <c r="L5" s="35" t="str">
        <f>PERCENTOF(L4,L3)</f>
        <v>#NAME?</v>
      </c>
    </row>
    <row r="6">
      <c r="B6" s="33" t="s">
        <v>132</v>
      </c>
      <c r="C6" s="34" t="s">
        <v>133</v>
      </c>
    </row>
    <row r="7">
      <c r="B7" s="66" t="s">
        <v>135</v>
      </c>
      <c r="D7" s="34" t="s">
        <v>136</v>
      </c>
    </row>
    <row r="8">
      <c r="B8" s="173"/>
      <c r="C8" s="66"/>
      <c r="D8" s="34"/>
    </row>
    <row r="9" ht="16.5" customHeight="1">
      <c r="B9" s="174"/>
      <c r="E9" s="175"/>
      <c r="F9" s="175"/>
      <c r="G9" s="175"/>
      <c r="H9" s="175"/>
      <c r="I9" s="175"/>
    </row>
    <row r="10" ht="21.0" customHeight="1">
      <c r="F10" s="37" t="s">
        <v>137</v>
      </c>
      <c r="G10" s="38"/>
      <c r="H10" s="39"/>
      <c r="I10" s="40" t="s">
        <v>250</v>
      </c>
    </row>
    <row r="11" ht="20.25" customHeight="1">
      <c r="B11" s="206" t="s">
        <v>566</v>
      </c>
      <c r="C11" s="27"/>
      <c r="D11" s="27"/>
      <c r="E11" s="43"/>
      <c r="F11" s="44" t="s">
        <v>127</v>
      </c>
      <c r="G11" s="45" t="s">
        <v>130</v>
      </c>
      <c r="H11" s="45" t="s">
        <v>132</v>
      </c>
      <c r="I11" s="46"/>
      <c r="J11" s="67"/>
    </row>
    <row r="12" ht="11.25" customHeight="1">
      <c r="C12" s="177"/>
      <c r="F12" s="147"/>
      <c r="G12" s="147"/>
      <c r="H12" s="147"/>
      <c r="I12" s="147"/>
    </row>
    <row r="13">
      <c r="B13" s="207">
        <v>1.0</v>
      </c>
      <c r="C13" s="194" t="s">
        <v>567</v>
      </c>
      <c r="D13" s="189"/>
      <c r="E13" s="54"/>
      <c r="F13" s="151" t="s">
        <v>141</v>
      </c>
      <c r="G13" s="151"/>
      <c r="H13" s="152"/>
      <c r="I13" s="153"/>
    </row>
    <row r="14">
      <c r="B14" s="210">
        <v>2.0</v>
      </c>
      <c r="C14" s="202" t="s">
        <v>568</v>
      </c>
      <c r="D14" s="189"/>
      <c r="E14" s="211"/>
      <c r="F14" s="151" t="s">
        <v>141</v>
      </c>
      <c r="G14" s="151"/>
      <c r="H14" s="152"/>
      <c r="I14" s="153"/>
    </row>
    <row r="15">
      <c r="B15" s="210">
        <v>3.0</v>
      </c>
      <c r="C15" s="194" t="s">
        <v>569</v>
      </c>
      <c r="D15" s="189"/>
      <c r="E15" s="54"/>
      <c r="F15" s="151" t="s">
        <v>141</v>
      </c>
      <c r="G15" s="151"/>
      <c r="H15" s="152"/>
      <c r="I15" s="153"/>
    </row>
    <row r="16">
      <c r="B16" s="210">
        <v>4.0</v>
      </c>
      <c r="C16" s="203" t="s">
        <v>570</v>
      </c>
      <c r="D16" s="189"/>
      <c r="E16" s="54"/>
      <c r="F16" s="151" t="s">
        <v>141</v>
      </c>
      <c r="G16" s="151"/>
      <c r="H16" s="152"/>
      <c r="I16" s="153"/>
    </row>
    <row r="17">
      <c r="B17" s="210">
        <v>5.0</v>
      </c>
      <c r="C17" s="203" t="s">
        <v>571</v>
      </c>
      <c r="D17" s="189"/>
      <c r="E17" s="54"/>
      <c r="F17" s="151" t="s">
        <v>141</v>
      </c>
      <c r="G17" s="151"/>
      <c r="H17" s="152"/>
      <c r="I17" s="153"/>
    </row>
    <row r="18" ht="18.75" customHeight="1">
      <c r="B18" s="207">
        <v>6.0</v>
      </c>
      <c r="C18" s="194" t="s">
        <v>572</v>
      </c>
      <c r="D18" s="189"/>
      <c r="F18" s="151" t="s">
        <v>141</v>
      </c>
      <c r="G18" s="151"/>
      <c r="H18" s="152"/>
      <c r="I18" s="153"/>
    </row>
    <row r="19" ht="18.75" customHeight="1">
      <c r="B19" s="210">
        <v>7.0</v>
      </c>
      <c r="C19" s="202" t="s">
        <v>573</v>
      </c>
      <c r="D19" s="189"/>
      <c r="F19" s="151" t="s">
        <v>141</v>
      </c>
      <c r="G19" s="151"/>
      <c r="H19" s="152"/>
      <c r="I19" s="153"/>
    </row>
    <row r="20" ht="18.75" customHeight="1">
      <c r="B20" s="210">
        <v>8.0</v>
      </c>
      <c r="C20" s="194" t="s">
        <v>574</v>
      </c>
      <c r="D20" s="189"/>
      <c r="F20" s="151" t="s">
        <v>141</v>
      </c>
      <c r="G20" s="151"/>
      <c r="H20" s="152"/>
      <c r="I20" s="153"/>
    </row>
    <row r="21" ht="18.75" customHeight="1">
      <c r="B21" s="210">
        <v>9.0</v>
      </c>
      <c r="C21" s="203" t="s">
        <v>575</v>
      </c>
      <c r="D21" s="189"/>
      <c r="F21" s="151" t="s">
        <v>141</v>
      </c>
      <c r="G21" s="151"/>
      <c r="H21" s="152"/>
      <c r="I21" s="153"/>
    </row>
    <row r="22" ht="18.75" customHeight="1">
      <c r="B22" s="210">
        <v>10.0</v>
      </c>
      <c r="C22" s="203" t="s">
        <v>576</v>
      </c>
      <c r="D22" s="189"/>
      <c r="F22" s="151" t="s">
        <v>141</v>
      </c>
      <c r="G22" s="151"/>
      <c r="H22" s="152"/>
      <c r="I22" s="153"/>
    </row>
    <row r="23" ht="18.75" customHeight="1">
      <c r="B23" s="207">
        <v>11.0</v>
      </c>
      <c r="C23" s="194" t="s">
        <v>577</v>
      </c>
      <c r="D23" s="189"/>
      <c r="F23" s="151" t="s">
        <v>141</v>
      </c>
      <c r="G23" s="151"/>
      <c r="H23" s="152"/>
      <c r="I23" s="153"/>
    </row>
    <row r="24" ht="18.75" customHeight="1">
      <c r="B24" s="210">
        <v>12.0</v>
      </c>
      <c r="C24" s="202" t="s">
        <v>578</v>
      </c>
      <c r="D24" s="189"/>
      <c r="F24" s="151" t="s">
        <v>141</v>
      </c>
      <c r="G24" s="151"/>
      <c r="H24" s="152"/>
      <c r="I24" s="153"/>
    </row>
    <row r="25" ht="18.75" customHeight="1">
      <c r="B25" s="210">
        <v>13.0</v>
      </c>
      <c r="C25" s="194" t="s">
        <v>579</v>
      </c>
      <c r="D25" s="189"/>
      <c r="F25" s="151" t="s">
        <v>141</v>
      </c>
      <c r="G25" s="151"/>
      <c r="H25" s="152"/>
      <c r="I25" s="153"/>
    </row>
    <row r="26" ht="18.75" customHeight="1">
      <c r="B26" s="210">
        <v>14.0</v>
      </c>
      <c r="C26" s="203" t="s">
        <v>580</v>
      </c>
      <c r="D26" s="189"/>
      <c r="F26" s="151" t="s">
        <v>141</v>
      </c>
      <c r="G26" s="151"/>
      <c r="H26" s="152"/>
      <c r="I26" s="153"/>
    </row>
    <row r="27" ht="18.75" customHeight="1">
      <c r="B27" s="210">
        <v>15.0</v>
      </c>
      <c r="C27" s="203" t="s">
        <v>581</v>
      </c>
      <c r="D27" s="189"/>
      <c r="F27" s="151" t="s">
        <v>141</v>
      </c>
      <c r="G27" s="151"/>
      <c r="H27" s="152"/>
      <c r="I27" s="153"/>
    </row>
    <row r="28" ht="18.75" customHeight="1">
      <c r="B28" s="207">
        <v>16.0</v>
      </c>
      <c r="C28" s="194" t="s">
        <v>582</v>
      </c>
      <c r="D28" s="189"/>
      <c r="F28" s="151" t="s">
        <v>141</v>
      </c>
      <c r="G28" s="151"/>
      <c r="H28" s="152"/>
      <c r="I28" s="153"/>
    </row>
    <row r="29" ht="18.75" customHeight="1">
      <c r="B29" s="210">
        <v>17.0</v>
      </c>
      <c r="C29" s="202" t="s">
        <v>583</v>
      </c>
      <c r="D29" s="189"/>
      <c r="F29" s="151" t="s">
        <v>141</v>
      </c>
      <c r="G29" s="151"/>
      <c r="H29" s="152"/>
      <c r="I29" s="153"/>
    </row>
    <row r="30" ht="18.75" customHeight="1">
      <c r="B30" s="210">
        <v>18.0</v>
      </c>
      <c r="C30" s="194" t="s">
        <v>584</v>
      </c>
      <c r="D30" s="189"/>
      <c r="F30" s="151" t="s">
        <v>141</v>
      </c>
      <c r="G30" s="151"/>
      <c r="H30" s="152"/>
      <c r="I30" s="153"/>
    </row>
    <row r="31" ht="18.75" customHeight="1">
      <c r="B31" s="210">
        <v>19.0</v>
      </c>
      <c r="C31" s="203" t="s">
        <v>585</v>
      </c>
      <c r="D31" s="189"/>
      <c r="F31" s="151" t="s">
        <v>141</v>
      </c>
      <c r="G31" s="151"/>
      <c r="H31" s="152"/>
      <c r="I31" s="153"/>
    </row>
    <row r="32" ht="18.75" customHeight="1">
      <c r="B32" s="210">
        <v>20.0</v>
      </c>
      <c r="C32" s="203" t="s">
        <v>586</v>
      </c>
      <c r="D32" s="189"/>
      <c r="F32" s="151" t="s">
        <v>141</v>
      </c>
      <c r="G32" s="151"/>
      <c r="H32" s="152"/>
      <c r="I32" s="153"/>
    </row>
    <row r="33" ht="18.75" customHeight="1">
      <c r="B33" s="207">
        <v>21.0</v>
      </c>
      <c r="C33" s="194" t="s">
        <v>587</v>
      </c>
      <c r="D33" s="189"/>
      <c r="F33" s="151" t="s">
        <v>141</v>
      </c>
      <c r="G33" s="151"/>
      <c r="H33" s="152"/>
      <c r="I33" s="153"/>
    </row>
    <row r="34" ht="18.75" customHeight="1">
      <c r="B34" s="210">
        <v>22.0</v>
      </c>
      <c r="C34" s="202" t="s">
        <v>588</v>
      </c>
      <c r="D34" s="189"/>
      <c r="F34" s="151" t="s">
        <v>141</v>
      </c>
      <c r="G34" s="151"/>
      <c r="H34" s="152"/>
      <c r="I34" s="153"/>
    </row>
    <row r="35" ht="18.75" customHeight="1">
      <c r="B35" s="210">
        <v>23.0</v>
      </c>
      <c r="C35" s="194" t="s">
        <v>589</v>
      </c>
      <c r="D35" s="189"/>
      <c r="F35" s="151" t="s">
        <v>141</v>
      </c>
      <c r="G35" s="151"/>
      <c r="H35" s="152"/>
      <c r="I35" s="153"/>
    </row>
    <row r="36" ht="18.75" customHeight="1">
      <c r="B36" s="210">
        <v>24.0</v>
      </c>
      <c r="C36" s="203" t="s">
        <v>590</v>
      </c>
      <c r="D36" s="189"/>
      <c r="F36" s="151" t="s">
        <v>141</v>
      </c>
      <c r="G36" s="151"/>
      <c r="H36" s="152"/>
      <c r="I36" s="153"/>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16:D16"/>
    <mergeCell ref="C17:D17"/>
    <mergeCell ref="C18:D18"/>
    <mergeCell ref="C19:D19"/>
    <mergeCell ref="C20:D20"/>
    <mergeCell ref="C21:D21"/>
    <mergeCell ref="C22:D22"/>
    <mergeCell ref="C30:D30"/>
    <mergeCell ref="C31:D31"/>
    <mergeCell ref="C32:D32"/>
    <mergeCell ref="C33:D33"/>
    <mergeCell ref="C34:D34"/>
    <mergeCell ref="C35:D35"/>
    <mergeCell ref="C36:D36"/>
    <mergeCell ref="C23:D23"/>
    <mergeCell ref="C24:D24"/>
    <mergeCell ref="C25:D25"/>
    <mergeCell ref="C26:D26"/>
    <mergeCell ref="C27:D27"/>
    <mergeCell ref="C28:D28"/>
    <mergeCell ref="C29:D29"/>
  </mergeCell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EABAB"/>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1">
      <c r="A1" s="21" t="s">
        <v>521</v>
      </c>
    </row>
    <row r="2" ht="21.75" customHeight="1">
      <c r="B2" s="26" t="s">
        <v>124</v>
      </c>
      <c r="C2" s="27"/>
      <c r="D2" s="27"/>
      <c r="E2" s="27"/>
      <c r="F2" s="27"/>
      <c r="G2" s="27"/>
      <c r="H2" s="27"/>
      <c r="I2" s="27"/>
      <c r="K2" s="206" t="s">
        <v>125</v>
      </c>
      <c r="L2" s="27"/>
    </row>
    <row r="3" ht="15.0" customHeight="1">
      <c r="K3" s="31" t="s">
        <v>126</v>
      </c>
      <c r="L3" s="32">
        <f>COUNT(B12:D75)</f>
        <v>8</v>
      </c>
    </row>
    <row r="4">
      <c r="B4" s="33" t="s">
        <v>127</v>
      </c>
      <c r="C4" s="34" t="s">
        <v>128</v>
      </c>
      <c r="K4" s="31" t="s">
        <v>129</v>
      </c>
      <c r="L4" s="32">
        <f>COUNTIF(F12:F75,"X")</f>
        <v>8</v>
      </c>
    </row>
    <row r="5">
      <c r="B5" s="33" t="s">
        <v>130</v>
      </c>
      <c r="C5" s="34" t="s">
        <v>131</v>
      </c>
      <c r="K5" s="31" t="s">
        <v>134</v>
      </c>
      <c r="L5" s="35" t="str">
        <f>PERCENTOF(L4,L3)</f>
        <v>#NAME?</v>
      </c>
    </row>
    <row r="6">
      <c r="B6" s="33" t="s">
        <v>132</v>
      </c>
      <c r="C6" s="34" t="s">
        <v>133</v>
      </c>
    </row>
    <row r="7">
      <c r="B7" s="66" t="s">
        <v>135</v>
      </c>
      <c r="D7" s="34" t="s">
        <v>136</v>
      </c>
    </row>
    <row r="8">
      <c r="B8" s="173"/>
      <c r="C8" s="66"/>
      <c r="D8" s="34"/>
    </row>
    <row r="9" ht="16.5" customHeight="1">
      <c r="B9" s="174"/>
      <c r="E9" s="175"/>
      <c r="F9" s="175"/>
      <c r="G9" s="175"/>
      <c r="H9" s="175"/>
      <c r="I9" s="175"/>
    </row>
    <row r="10" ht="21.0" customHeight="1">
      <c r="F10" s="37" t="s">
        <v>137</v>
      </c>
      <c r="G10" s="38"/>
      <c r="H10" s="39"/>
      <c r="I10" s="40" t="s">
        <v>250</v>
      </c>
    </row>
    <row r="11" ht="20.25" customHeight="1">
      <c r="B11" s="206" t="s">
        <v>591</v>
      </c>
      <c r="C11" s="27"/>
      <c r="D11" s="27"/>
      <c r="E11" s="43"/>
      <c r="F11" s="44" t="s">
        <v>127</v>
      </c>
      <c r="G11" s="45" t="s">
        <v>130</v>
      </c>
      <c r="H11" s="45" t="s">
        <v>132</v>
      </c>
      <c r="I11" s="46"/>
      <c r="J11" s="67"/>
    </row>
    <row r="12" ht="11.25" customHeight="1">
      <c r="C12" s="177"/>
      <c r="F12" s="147"/>
      <c r="G12" s="147"/>
      <c r="H12" s="147"/>
      <c r="I12" s="147"/>
    </row>
    <row r="13">
      <c r="B13" s="207">
        <v>1.0</v>
      </c>
      <c r="C13" s="194" t="s">
        <v>592</v>
      </c>
      <c r="D13" s="189"/>
      <c r="E13" s="54"/>
      <c r="F13" s="151" t="s">
        <v>141</v>
      </c>
      <c r="G13" s="151"/>
      <c r="H13" s="152"/>
      <c r="I13" s="209" t="s">
        <v>255</v>
      </c>
    </row>
    <row r="14">
      <c r="B14" s="210">
        <v>2.0</v>
      </c>
      <c r="C14" s="202" t="s">
        <v>593</v>
      </c>
      <c r="D14" s="189"/>
      <c r="E14" s="211"/>
      <c r="F14" s="151" t="s">
        <v>141</v>
      </c>
      <c r="G14" s="151"/>
      <c r="H14" s="152"/>
      <c r="I14" s="209" t="s">
        <v>255</v>
      </c>
    </row>
    <row r="15">
      <c r="B15" s="210">
        <v>3.0</v>
      </c>
      <c r="C15" s="194" t="s">
        <v>594</v>
      </c>
      <c r="D15" s="189"/>
      <c r="E15" s="54"/>
      <c r="F15" s="151" t="s">
        <v>141</v>
      </c>
      <c r="G15" s="151"/>
      <c r="H15" s="152"/>
      <c r="I15" s="209" t="s">
        <v>255</v>
      </c>
    </row>
    <row r="16">
      <c r="B16" s="210">
        <v>4.0</v>
      </c>
      <c r="C16" s="203" t="s">
        <v>595</v>
      </c>
      <c r="D16" s="189"/>
      <c r="E16" s="54"/>
      <c r="F16" s="151" t="s">
        <v>141</v>
      </c>
      <c r="G16" s="151"/>
      <c r="H16" s="152"/>
      <c r="I16" s="209" t="s">
        <v>255</v>
      </c>
    </row>
    <row r="17">
      <c r="B17" s="210">
        <v>5.0</v>
      </c>
      <c r="C17" s="203" t="s">
        <v>596</v>
      </c>
      <c r="D17" s="189"/>
      <c r="E17" s="54"/>
      <c r="F17" s="151" t="s">
        <v>141</v>
      </c>
      <c r="G17" s="151"/>
      <c r="H17" s="152"/>
      <c r="I17" s="209" t="s">
        <v>255</v>
      </c>
    </row>
    <row r="18" ht="18.75" customHeight="1">
      <c r="B18" s="207">
        <v>6.0</v>
      </c>
      <c r="C18" s="194" t="s">
        <v>597</v>
      </c>
      <c r="D18" s="189"/>
      <c r="F18" s="151" t="s">
        <v>141</v>
      </c>
      <c r="G18" s="151"/>
      <c r="H18" s="152"/>
      <c r="I18" s="209" t="s">
        <v>255</v>
      </c>
    </row>
    <row r="19" ht="18.75" customHeight="1">
      <c r="B19" s="210">
        <v>7.0</v>
      </c>
      <c r="C19" s="202" t="s">
        <v>598</v>
      </c>
      <c r="D19" s="189"/>
      <c r="F19" s="151" t="s">
        <v>141</v>
      </c>
      <c r="G19" s="151"/>
      <c r="H19" s="152"/>
      <c r="I19" s="209" t="s">
        <v>255</v>
      </c>
    </row>
    <row r="20" ht="18.75" customHeight="1">
      <c r="B20" s="210">
        <v>8.0</v>
      </c>
      <c r="C20" s="194" t="s">
        <v>599</v>
      </c>
      <c r="D20" s="189"/>
      <c r="F20" s="151" t="s">
        <v>141</v>
      </c>
      <c r="G20" s="151"/>
      <c r="H20" s="152"/>
      <c r="I20" s="209" t="s">
        <v>255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2:I2"/>
    <mergeCell ref="K2:L2"/>
    <mergeCell ref="C4:D4"/>
    <mergeCell ref="C5:D5"/>
    <mergeCell ref="C6:D6"/>
    <mergeCell ref="B7:C7"/>
    <mergeCell ref="B9:D9"/>
    <mergeCell ref="C16:D16"/>
    <mergeCell ref="C17:D17"/>
    <mergeCell ref="C18:D18"/>
    <mergeCell ref="C19:D19"/>
    <mergeCell ref="C20:D20"/>
    <mergeCell ref="F10:H10"/>
    <mergeCell ref="I10:I11"/>
    <mergeCell ref="B11:D11"/>
    <mergeCell ref="C12:D12"/>
    <mergeCell ref="C13:D13"/>
    <mergeCell ref="C14:D14"/>
    <mergeCell ref="C15:D15"/>
  </mergeCell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EABAB"/>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COUNT(B12:D97)</f>
        <v>27</v>
      </c>
    </row>
    <row r="4">
      <c r="B4" s="33" t="s">
        <v>127</v>
      </c>
      <c r="C4" s="34" t="s">
        <v>128</v>
      </c>
      <c r="K4" s="31" t="s">
        <v>129</v>
      </c>
      <c r="L4" s="32">
        <f>COUNTIF(F12:F97,"X")</f>
        <v>27</v>
      </c>
    </row>
    <row r="5">
      <c r="B5" s="33" t="s">
        <v>130</v>
      </c>
      <c r="C5" s="34" t="s">
        <v>131</v>
      </c>
      <c r="K5" s="31" t="s">
        <v>134</v>
      </c>
      <c r="L5" s="35" t="str">
        <f>PERCENTOF(L4,L3)</f>
        <v>#NAME?</v>
      </c>
    </row>
    <row r="6">
      <c r="B6" s="33" t="s">
        <v>132</v>
      </c>
      <c r="C6" s="34" t="s">
        <v>133</v>
      </c>
    </row>
    <row r="7">
      <c r="B7" s="66" t="s">
        <v>135</v>
      </c>
      <c r="D7" s="34" t="s">
        <v>136</v>
      </c>
    </row>
    <row r="8">
      <c r="B8" s="173"/>
      <c r="C8" s="66"/>
      <c r="D8" s="34"/>
    </row>
    <row r="9" ht="16.5" customHeight="1">
      <c r="B9" s="174"/>
      <c r="E9" s="175"/>
      <c r="F9" s="175"/>
      <c r="G9" s="175"/>
      <c r="H9" s="175"/>
      <c r="I9" s="175"/>
    </row>
    <row r="10" ht="21.0" customHeight="1">
      <c r="F10" s="37" t="s">
        <v>137</v>
      </c>
      <c r="G10" s="38"/>
      <c r="H10" s="39"/>
      <c r="I10" s="40" t="s">
        <v>250</v>
      </c>
    </row>
    <row r="11" ht="20.25" customHeight="1">
      <c r="B11" s="206" t="s">
        <v>600</v>
      </c>
      <c r="C11" s="27"/>
      <c r="D11" s="27"/>
      <c r="E11" s="43"/>
      <c r="F11" s="44" t="s">
        <v>127</v>
      </c>
      <c r="G11" s="45" t="s">
        <v>130</v>
      </c>
      <c r="H11" s="45" t="s">
        <v>132</v>
      </c>
      <c r="I11" s="46"/>
      <c r="J11" s="67"/>
    </row>
    <row r="12" ht="11.25" customHeight="1">
      <c r="C12" s="177"/>
      <c r="F12" s="147"/>
      <c r="G12" s="147"/>
      <c r="H12" s="147"/>
      <c r="I12" s="147"/>
    </row>
    <row r="13">
      <c r="B13" s="207">
        <v>1.0</v>
      </c>
      <c r="C13" s="194" t="s">
        <v>601</v>
      </c>
      <c r="D13" s="189"/>
      <c r="E13" s="54"/>
      <c r="F13" s="151" t="s">
        <v>141</v>
      </c>
      <c r="G13" s="151"/>
      <c r="H13" s="152"/>
      <c r="I13" s="153"/>
    </row>
    <row r="14">
      <c r="B14" s="210">
        <v>2.0</v>
      </c>
      <c r="C14" s="202" t="s">
        <v>602</v>
      </c>
      <c r="D14" s="189"/>
      <c r="E14" s="211"/>
      <c r="F14" s="151" t="s">
        <v>141</v>
      </c>
      <c r="G14" s="151"/>
      <c r="H14" s="152"/>
      <c r="I14" s="153"/>
    </row>
    <row r="15">
      <c r="B15" s="210">
        <v>3.0</v>
      </c>
      <c r="C15" s="194" t="s">
        <v>603</v>
      </c>
      <c r="D15" s="189"/>
      <c r="E15" s="54"/>
      <c r="F15" s="151" t="s">
        <v>141</v>
      </c>
      <c r="G15" s="151"/>
      <c r="H15" s="152"/>
      <c r="I15" s="153"/>
    </row>
    <row r="16">
      <c r="B16" s="210">
        <v>4.0</v>
      </c>
      <c r="C16" s="203" t="s">
        <v>604</v>
      </c>
      <c r="D16" s="189"/>
      <c r="E16" s="54"/>
      <c r="F16" s="151" t="s">
        <v>141</v>
      </c>
      <c r="G16" s="151"/>
      <c r="H16" s="152"/>
      <c r="I16" s="153"/>
    </row>
    <row r="17">
      <c r="B17" s="210">
        <v>5.0</v>
      </c>
      <c r="C17" s="203" t="s">
        <v>605</v>
      </c>
      <c r="D17" s="189"/>
      <c r="E17" s="54"/>
      <c r="F17" s="151" t="s">
        <v>141</v>
      </c>
      <c r="G17" s="151"/>
      <c r="H17" s="152"/>
      <c r="I17" s="153"/>
    </row>
    <row r="18" ht="18.75" customHeight="1">
      <c r="B18" s="207">
        <v>6.0</v>
      </c>
      <c r="C18" s="194" t="s">
        <v>606</v>
      </c>
      <c r="D18" s="189"/>
      <c r="F18" s="151" t="s">
        <v>141</v>
      </c>
      <c r="G18" s="151"/>
      <c r="H18" s="152"/>
      <c r="I18" s="153"/>
    </row>
    <row r="19" ht="18.75" customHeight="1">
      <c r="B19" s="210">
        <v>7.0</v>
      </c>
      <c r="C19" s="202" t="s">
        <v>607</v>
      </c>
      <c r="D19" s="189"/>
      <c r="F19" s="151" t="s">
        <v>141</v>
      </c>
      <c r="G19" s="151"/>
      <c r="H19" s="152"/>
      <c r="I19" s="153"/>
    </row>
    <row r="20" ht="18.75" customHeight="1">
      <c r="B20" s="210">
        <v>8.0</v>
      </c>
      <c r="C20" s="194" t="s">
        <v>608</v>
      </c>
      <c r="D20" s="189"/>
      <c r="F20" s="151" t="s">
        <v>141</v>
      </c>
      <c r="G20" s="151"/>
      <c r="H20" s="152"/>
      <c r="I20" s="153"/>
    </row>
    <row r="21" ht="18.75" customHeight="1">
      <c r="B21" s="210">
        <v>9.0</v>
      </c>
      <c r="C21" s="203" t="s">
        <v>609</v>
      </c>
      <c r="D21" s="189"/>
      <c r="F21" s="151" t="s">
        <v>141</v>
      </c>
      <c r="G21" s="151"/>
      <c r="H21" s="152"/>
      <c r="I21" s="153"/>
    </row>
    <row r="22" ht="18.75" customHeight="1">
      <c r="B22" s="210">
        <v>10.0</v>
      </c>
      <c r="C22" s="203" t="s">
        <v>610</v>
      </c>
      <c r="D22" s="189"/>
      <c r="F22" s="151" t="s">
        <v>141</v>
      </c>
      <c r="G22" s="151"/>
      <c r="H22" s="152"/>
      <c r="I22" s="153"/>
    </row>
    <row r="23" ht="18.75" customHeight="1">
      <c r="B23" s="207">
        <v>11.0</v>
      </c>
      <c r="C23" s="194" t="s">
        <v>611</v>
      </c>
      <c r="D23" s="189"/>
      <c r="F23" s="151" t="s">
        <v>141</v>
      </c>
      <c r="G23" s="151"/>
      <c r="H23" s="152"/>
      <c r="I23" s="153"/>
    </row>
    <row r="24" ht="18.75" customHeight="1">
      <c r="B24" s="210">
        <v>12.0</v>
      </c>
      <c r="C24" s="202" t="s">
        <v>612</v>
      </c>
      <c r="D24" s="189"/>
      <c r="F24" s="151" t="s">
        <v>141</v>
      </c>
      <c r="G24" s="151"/>
      <c r="H24" s="152"/>
      <c r="I24" s="153"/>
    </row>
    <row r="25" ht="18.75" customHeight="1">
      <c r="B25" s="210">
        <v>13.0</v>
      </c>
      <c r="C25" s="194" t="s">
        <v>613</v>
      </c>
      <c r="D25" s="189"/>
      <c r="F25" s="151" t="s">
        <v>141</v>
      </c>
      <c r="G25" s="151"/>
      <c r="H25" s="152"/>
      <c r="I25" s="153"/>
    </row>
    <row r="26" ht="18.75" customHeight="1">
      <c r="B26" s="210">
        <v>14.0</v>
      </c>
      <c r="C26" s="203" t="s">
        <v>614</v>
      </c>
      <c r="D26" s="189"/>
      <c r="F26" s="151" t="s">
        <v>141</v>
      </c>
      <c r="G26" s="151"/>
      <c r="H26" s="152"/>
      <c r="I26" s="153"/>
    </row>
    <row r="27" ht="18.75" customHeight="1">
      <c r="B27" s="210">
        <v>15.0</v>
      </c>
      <c r="C27" s="203" t="s">
        <v>615</v>
      </c>
      <c r="D27" s="189"/>
      <c r="F27" s="151" t="s">
        <v>141</v>
      </c>
      <c r="G27" s="151"/>
      <c r="H27" s="152"/>
      <c r="I27" s="153"/>
    </row>
    <row r="28" ht="18.75" customHeight="1">
      <c r="B28" s="207">
        <v>16.0</v>
      </c>
      <c r="C28" s="194" t="s">
        <v>616</v>
      </c>
      <c r="D28" s="189"/>
      <c r="F28" s="151" t="s">
        <v>141</v>
      </c>
      <c r="G28" s="151"/>
      <c r="H28" s="152"/>
      <c r="I28" s="153"/>
    </row>
    <row r="29" ht="18.75" customHeight="1">
      <c r="B29" s="210">
        <v>17.0</v>
      </c>
      <c r="C29" s="202" t="s">
        <v>617</v>
      </c>
      <c r="D29" s="189"/>
      <c r="F29" s="151" t="s">
        <v>141</v>
      </c>
      <c r="G29" s="151"/>
      <c r="H29" s="152"/>
      <c r="I29" s="153"/>
    </row>
    <row r="30" ht="18.75" customHeight="1">
      <c r="B30" s="210">
        <v>18.0</v>
      </c>
      <c r="C30" s="194" t="s">
        <v>618</v>
      </c>
      <c r="D30" s="189"/>
      <c r="F30" s="151" t="s">
        <v>141</v>
      </c>
      <c r="G30" s="151"/>
      <c r="H30" s="152"/>
      <c r="I30" s="153"/>
    </row>
    <row r="31" ht="18.75" customHeight="1">
      <c r="B31" s="210">
        <v>19.0</v>
      </c>
      <c r="C31" s="203" t="s">
        <v>619</v>
      </c>
      <c r="D31" s="189"/>
      <c r="F31" s="151" t="s">
        <v>141</v>
      </c>
      <c r="G31" s="151"/>
      <c r="H31" s="152"/>
      <c r="I31" s="153"/>
    </row>
    <row r="32" ht="18.75" customHeight="1">
      <c r="B32" s="210">
        <v>20.0</v>
      </c>
      <c r="C32" s="203" t="s">
        <v>620</v>
      </c>
      <c r="D32" s="189"/>
      <c r="F32" s="151" t="s">
        <v>141</v>
      </c>
      <c r="G32" s="151"/>
      <c r="H32" s="152"/>
      <c r="I32" s="153"/>
    </row>
    <row r="33" ht="18.75" customHeight="1">
      <c r="B33" s="207">
        <v>21.0</v>
      </c>
      <c r="C33" s="194" t="s">
        <v>621</v>
      </c>
      <c r="D33" s="189"/>
      <c r="F33" s="151" t="s">
        <v>141</v>
      </c>
      <c r="G33" s="151"/>
      <c r="H33" s="152"/>
      <c r="I33" s="153"/>
    </row>
    <row r="34" ht="18.75" customHeight="1">
      <c r="B34" s="210">
        <v>22.0</v>
      </c>
      <c r="C34" s="202" t="s">
        <v>622</v>
      </c>
      <c r="D34" s="189"/>
      <c r="F34" s="151" t="s">
        <v>141</v>
      </c>
      <c r="G34" s="151"/>
      <c r="H34" s="152"/>
      <c r="I34" s="153"/>
    </row>
    <row r="35" ht="18.75" customHeight="1">
      <c r="B35" s="210">
        <v>23.0</v>
      </c>
      <c r="C35" s="194" t="s">
        <v>623</v>
      </c>
      <c r="D35" s="189"/>
      <c r="F35" s="151" t="s">
        <v>141</v>
      </c>
      <c r="G35" s="151"/>
      <c r="H35" s="152"/>
      <c r="I35" s="153"/>
    </row>
    <row r="36" ht="18.75" customHeight="1">
      <c r="B36" s="210">
        <v>24.0</v>
      </c>
      <c r="C36" s="203" t="s">
        <v>624</v>
      </c>
      <c r="D36" s="189"/>
      <c r="F36" s="151" t="s">
        <v>141</v>
      </c>
      <c r="G36" s="151"/>
      <c r="H36" s="152"/>
      <c r="I36" s="153"/>
    </row>
    <row r="37" ht="18.75" customHeight="1">
      <c r="B37" s="210">
        <v>25.0</v>
      </c>
      <c r="C37" s="203" t="s">
        <v>625</v>
      </c>
      <c r="D37" s="189"/>
      <c r="F37" s="151" t="s">
        <v>141</v>
      </c>
      <c r="G37" s="151"/>
      <c r="H37" s="152"/>
      <c r="I37" s="153"/>
    </row>
    <row r="38" ht="18.75" customHeight="1">
      <c r="B38" s="207">
        <v>26.0</v>
      </c>
      <c r="C38" s="194" t="s">
        <v>626</v>
      </c>
      <c r="D38" s="189"/>
      <c r="F38" s="151" t="s">
        <v>141</v>
      </c>
      <c r="G38" s="151"/>
      <c r="H38" s="152"/>
      <c r="I38" s="153"/>
    </row>
    <row r="39" ht="18.75" customHeight="1">
      <c r="B39" s="210">
        <v>27.0</v>
      </c>
      <c r="C39" s="202" t="s">
        <v>627</v>
      </c>
      <c r="D39" s="189"/>
      <c r="F39" s="151" t="s">
        <v>141</v>
      </c>
      <c r="G39" s="151"/>
      <c r="H39" s="152"/>
      <c r="I39" s="153"/>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7:D37"/>
    <mergeCell ref="C38:D38"/>
    <mergeCell ref="C39:D39"/>
    <mergeCell ref="C30:D30"/>
    <mergeCell ref="C31:D31"/>
    <mergeCell ref="C32:D32"/>
    <mergeCell ref="C33:D33"/>
    <mergeCell ref="C34:D34"/>
    <mergeCell ref="C35:D35"/>
    <mergeCell ref="C36:D36"/>
  </mergeCells>
  <printOptions/>
  <pageMargins bottom="0.75" footer="0.0" header="0.0" left="0.7" right="0.7" top="0.75"/>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5707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44.57"/>
    <col customWidth="1" min="5" max="5" width="4.29"/>
    <col customWidth="1" min="6" max="8" width="7.14"/>
    <col customWidth="1" min="9" max="9" width="92.57"/>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COUNT(B12:D77)</f>
        <v>10</v>
      </c>
    </row>
    <row r="4">
      <c r="B4" s="33" t="s">
        <v>127</v>
      </c>
      <c r="C4" s="34" t="s">
        <v>128</v>
      </c>
      <c r="K4" s="31" t="s">
        <v>129</v>
      </c>
      <c r="L4" s="32">
        <f>COUNTIF(F12:F77,"X")</f>
        <v>10</v>
      </c>
    </row>
    <row r="5">
      <c r="B5" s="33" t="s">
        <v>130</v>
      </c>
      <c r="C5" s="34" t="s">
        <v>131</v>
      </c>
      <c r="K5" s="31" t="s">
        <v>134</v>
      </c>
      <c r="L5" s="35" t="str">
        <f>PERCENTOF(L4,L3)</f>
        <v>#NAME?</v>
      </c>
    </row>
    <row r="6">
      <c r="B6" s="33" t="s">
        <v>132</v>
      </c>
      <c r="C6" s="34" t="s">
        <v>133</v>
      </c>
    </row>
    <row r="7">
      <c r="B7" s="66" t="s">
        <v>135</v>
      </c>
      <c r="D7" s="34" t="s">
        <v>136</v>
      </c>
    </row>
    <row r="8">
      <c r="B8" s="173"/>
      <c r="C8" s="66"/>
      <c r="D8" s="34"/>
    </row>
    <row r="9" ht="16.5" customHeight="1">
      <c r="B9" s="174"/>
      <c r="E9" s="175"/>
      <c r="F9" s="175"/>
      <c r="G9" s="175"/>
      <c r="H9" s="175"/>
      <c r="I9" s="175"/>
    </row>
    <row r="10" ht="21.0" customHeight="1">
      <c r="F10" s="37" t="s">
        <v>137</v>
      </c>
      <c r="G10" s="38"/>
      <c r="H10" s="39"/>
      <c r="I10" s="40" t="s">
        <v>250</v>
      </c>
    </row>
    <row r="11" ht="20.25" customHeight="1">
      <c r="B11" s="206" t="s">
        <v>628</v>
      </c>
      <c r="C11" s="27"/>
      <c r="D11" s="27"/>
      <c r="E11" s="43"/>
      <c r="F11" s="44" t="s">
        <v>127</v>
      </c>
      <c r="G11" s="45" t="s">
        <v>130</v>
      </c>
      <c r="H11" s="45" t="s">
        <v>132</v>
      </c>
      <c r="I11" s="46"/>
      <c r="J11" s="67"/>
    </row>
    <row r="12" ht="11.25" customHeight="1">
      <c r="C12" s="177"/>
      <c r="F12" s="147"/>
      <c r="G12" s="147"/>
      <c r="H12" s="147"/>
      <c r="I12" s="147"/>
    </row>
    <row r="13">
      <c r="B13" s="207">
        <v>1.0</v>
      </c>
      <c r="C13" s="194" t="s">
        <v>629</v>
      </c>
      <c r="D13" s="189"/>
      <c r="E13" s="54"/>
      <c r="F13" s="151" t="s">
        <v>141</v>
      </c>
      <c r="G13" s="151"/>
      <c r="H13" s="152"/>
      <c r="I13" s="209" t="s">
        <v>255</v>
      </c>
    </row>
    <row r="14">
      <c r="B14" s="210">
        <v>2.0</v>
      </c>
      <c r="C14" s="202" t="s">
        <v>630</v>
      </c>
      <c r="D14" s="189"/>
      <c r="E14" s="211"/>
      <c r="F14" s="151" t="s">
        <v>141</v>
      </c>
      <c r="G14" s="212" t="s">
        <v>141</v>
      </c>
      <c r="H14" s="152"/>
      <c r="I14" s="209" t="s">
        <v>631</v>
      </c>
    </row>
    <row r="15">
      <c r="B15" s="210">
        <v>3.0</v>
      </c>
      <c r="C15" s="194" t="s">
        <v>632</v>
      </c>
      <c r="D15" s="189"/>
      <c r="E15" s="54"/>
      <c r="F15" s="151" t="s">
        <v>141</v>
      </c>
      <c r="G15" s="151"/>
      <c r="H15" s="152"/>
      <c r="I15" s="209" t="s">
        <v>255</v>
      </c>
    </row>
    <row r="16">
      <c r="B16" s="210">
        <v>4.0</v>
      </c>
      <c r="C16" s="203" t="s">
        <v>633</v>
      </c>
      <c r="D16" s="189"/>
      <c r="E16" s="54"/>
      <c r="F16" s="151" t="s">
        <v>141</v>
      </c>
      <c r="G16" s="151"/>
      <c r="H16" s="152"/>
      <c r="I16" s="209" t="s">
        <v>255</v>
      </c>
    </row>
    <row r="17">
      <c r="B17" s="210">
        <v>5.0</v>
      </c>
      <c r="C17" s="203" t="s">
        <v>634</v>
      </c>
      <c r="D17" s="189"/>
      <c r="E17" s="54"/>
      <c r="F17" s="151" t="s">
        <v>141</v>
      </c>
      <c r="G17" s="212" t="s">
        <v>141</v>
      </c>
      <c r="H17" s="152"/>
      <c r="I17" s="209" t="s">
        <v>635</v>
      </c>
    </row>
    <row r="18" ht="18.75" customHeight="1">
      <c r="B18" s="207">
        <v>6.0</v>
      </c>
      <c r="C18" s="194" t="s">
        <v>636</v>
      </c>
      <c r="D18" s="189"/>
      <c r="F18" s="151" t="s">
        <v>141</v>
      </c>
      <c r="G18" s="151"/>
      <c r="H18" s="152"/>
      <c r="I18" s="209" t="s">
        <v>637</v>
      </c>
    </row>
    <row r="19" ht="18.75" customHeight="1">
      <c r="B19" s="210">
        <v>7.0</v>
      </c>
      <c r="C19" s="202" t="s">
        <v>638</v>
      </c>
      <c r="D19" s="189"/>
      <c r="F19" s="151" t="s">
        <v>141</v>
      </c>
      <c r="G19" s="212" t="s">
        <v>141</v>
      </c>
      <c r="H19" s="152"/>
      <c r="I19" s="209" t="s">
        <v>639</v>
      </c>
    </row>
    <row r="20">
      <c r="B20" s="210">
        <v>8.0</v>
      </c>
      <c r="C20" s="194" t="s">
        <v>640</v>
      </c>
      <c r="D20" s="189"/>
      <c r="F20" s="151" t="s">
        <v>141</v>
      </c>
      <c r="G20" s="212" t="s">
        <v>141</v>
      </c>
      <c r="H20" s="152"/>
      <c r="I20" s="209" t="s">
        <v>641</v>
      </c>
    </row>
    <row r="21" ht="18.75" customHeight="1">
      <c r="B21" s="210">
        <v>9.0</v>
      </c>
      <c r="C21" s="203" t="s">
        <v>642</v>
      </c>
      <c r="D21" s="189"/>
      <c r="F21" s="151" t="s">
        <v>141</v>
      </c>
      <c r="G21" s="151"/>
      <c r="H21" s="152"/>
      <c r="I21" s="209" t="s">
        <v>643</v>
      </c>
    </row>
    <row r="22" ht="18.75" customHeight="1">
      <c r="B22" s="210">
        <v>10.0</v>
      </c>
      <c r="C22" s="203" t="s">
        <v>644</v>
      </c>
      <c r="D22" s="189"/>
      <c r="F22" s="151" t="s">
        <v>141</v>
      </c>
      <c r="G22" s="212" t="s">
        <v>141</v>
      </c>
      <c r="H22" s="152"/>
      <c r="I22" s="209" t="s">
        <v>645</v>
      </c>
    </row>
    <row r="23" ht="15.75" customHeight="1"/>
    <row r="24" ht="15.75" customHeight="1"/>
    <row r="25" ht="15.75" customHeight="1">
      <c r="F25" s="21"/>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2:I2"/>
    <mergeCell ref="K2:L2"/>
    <mergeCell ref="C4:D4"/>
    <mergeCell ref="C5:D5"/>
    <mergeCell ref="C6:D6"/>
    <mergeCell ref="B7:C7"/>
    <mergeCell ref="B9:D9"/>
    <mergeCell ref="C16:D16"/>
    <mergeCell ref="C17:D17"/>
    <mergeCell ref="C18:D18"/>
    <mergeCell ref="C19:D19"/>
    <mergeCell ref="C20:D20"/>
    <mergeCell ref="C21:D21"/>
    <mergeCell ref="C22:D22"/>
    <mergeCell ref="F10:H10"/>
    <mergeCell ref="I10:I11"/>
    <mergeCell ref="B11:D11"/>
    <mergeCell ref="C12:D12"/>
    <mergeCell ref="C13:D13"/>
    <mergeCell ref="C14:D14"/>
    <mergeCell ref="C15:D15"/>
  </mergeCells>
  <printOptions/>
  <pageMargins bottom="0.75" footer="0.0" header="0.0" left="0.7" right="0.7" top="0.75"/>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5707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COUNT(B12:D100)</f>
        <v>30</v>
      </c>
    </row>
    <row r="4">
      <c r="B4" s="33" t="s">
        <v>127</v>
      </c>
      <c r="C4" s="34" t="s">
        <v>128</v>
      </c>
      <c r="K4" s="31" t="s">
        <v>129</v>
      </c>
      <c r="L4" s="32">
        <f>COUNTIF(F12:F100,"X")</f>
        <v>30</v>
      </c>
    </row>
    <row r="5">
      <c r="B5" s="33" t="s">
        <v>130</v>
      </c>
      <c r="C5" s="34" t="s">
        <v>131</v>
      </c>
      <c r="K5" s="31" t="s">
        <v>134</v>
      </c>
      <c r="L5" s="35" t="str">
        <f>PERCENTOF(L4,L3)</f>
        <v>#NAME?</v>
      </c>
    </row>
    <row r="6">
      <c r="B6" s="33" t="s">
        <v>132</v>
      </c>
      <c r="C6" s="34" t="s">
        <v>133</v>
      </c>
    </row>
    <row r="7">
      <c r="B7" s="66" t="s">
        <v>135</v>
      </c>
      <c r="D7" s="34" t="s">
        <v>136</v>
      </c>
    </row>
    <row r="8">
      <c r="B8" s="173" t="s">
        <v>477</v>
      </c>
      <c r="C8" s="66"/>
      <c r="D8" s="34"/>
    </row>
    <row r="9" ht="16.5" customHeight="1">
      <c r="B9" s="174"/>
      <c r="E9" s="175"/>
      <c r="F9" s="175"/>
      <c r="G9" s="175"/>
      <c r="H9" s="175"/>
      <c r="I9" s="175"/>
    </row>
    <row r="10" ht="21.0" customHeight="1">
      <c r="F10" s="37" t="s">
        <v>137</v>
      </c>
      <c r="G10" s="38"/>
      <c r="H10" s="39"/>
      <c r="I10" s="40" t="s">
        <v>250</v>
      </c>
    </row>
    <row r="11" ht="20.25" customHeight="1">
      <c r="B11" s="206" t="s">
        <v>646</v>
      </c>
      <c r="C11" s="27"/>
      <c r="D11" s="27"/>
      <c r="E11" s="43"/>
      <c r="F11" s="44" t="s">
        <v>127</v>
      </c>
      <c r="G11" s="45" t="s">
        <v>130</v>
      </c>
      <c r="H11" s="45" t="s">
        <v>132</v>
      </c>
      <c r="I11" s="46"/>
      <c r="J11" s="67"/>
    </row>
    <row r="12" ht="11.25" customHeight="1">
      <c r="C12" s="177"/>
      <c r="F12" s="147"/>
      <c r="G12" s="147"/>
      <c r="H12" s="147"/>
      <c r="I12" s="147"/>
    </row>
    <row r="13">
      <c r="B13" s="207">
        <v>1.0</v>
      </c>
      <c r="C13" s="194" t="s">
        <v>647</v>
      </c>
      <c r="D13" s="189"/>
      <c r="E13" s="54"/>
      <c r="F13" s="151" t="s">
        <v>141</v>
      </c>
      <c r="G13" s="151"/>
      <c r="H13" s="152"/>
      <c r="I13" s="153"/>
    </row>
    <row r="14">
      <c r="B14" s="210">
        <v>2.0</v>
      </c>
      <c r="C14" s="202" t="s">
        <v>648</v>
      </c>
      <c r="D14" s="189"/>
      <c r="E14" s="211"/>
      <c r="F14" s="151" t="s">
        <v>141</v>
      </c>
      <c r="G14" s="151"/>
      <c r="H14" s="152"/>
      <c r="I14" s="153"/>
    </row>
    <row r="15">
      <c r="B15" s="210">
        <v>3.0</v>
      </c>
      <c r="C15" s="194" t="s">
        <v>649</v>
      </c>
      <c r="D15" s="189"/>
      <c r="E15" s="54"/>
      <c r="F15" s="151" t="s">
        <v>141</v>
      </c>
      <c r="G15" s="151"/>
      <c r="H15" s="152"/>
      <c r="I15" s="153"/>
    </row>
    <row r="16">
      <c r="B16" s="210">
        <v>4.0</v>
      </c>
      <c r="C16" s="203" t="s">
        <v>650</v>
      </c>
      <c r="D16" s="189"/>
      <c r="E16" s="54"/>
      <c r="F16" s="151" t="s">
        <v>141</v>
      </c>
      <c r="G16" s="151"/>
      <c r="H16" s="152"/>
      <c r="I16" s="153"/>
    </row>
    <row r="17">
      <c r="B17" s="210">
        <v>5.0</v>
      </c>
      <c r="C17" s="203" t="s">
        <v>651</v>
      </c>
      <c r="D17" s="189"/>
      <c r="E17" s="54"/>
      <c r="F17" s="151" t="s">
        <v>141</v>
      </c>
      <c r="G17" s="151"/>
      <c r="H17" s="152"/>
      <c r="I17" s="153"/>
    </row>
    <row r="18" ht="18.75" customHeight="1">
      <c r="B18" s="207">
        <v>6.0</v>
      </c>
      <c r="C18" s="194" t="s">
        <v>652</v>
      </c>
      <c r="D18" s="189"/>
      <c r="F18" s="151" t="s">
        <v>141</v>
      </c>
      <c r="G18" s="151"/>
      <c r="H18" s="152"/>
      <c r="I18" s="153"/>
    </row>
    <row r="19" ht="18.75" customHeight="1">
      <c r="B19" s="210">
        <v>7.0</v>
      </c>
      <c r="C19" s="202" t="s">
        <v>653</v>
      </c>
      <c r="D19" s="189"/>
      <c r="F19" s="151" t="s">
        <v>141</v>
      </c>
      <c r="G19" s="151"/>
      <c r="H19" s="152"/>
      <c r="I19" s="153"/>
    </row>
    <row r="20" ht="18.75" customHeight="1">
      <c r="B20" s="210">
        <v>8.0</v>
      </c>
      <c r="C20" s="194" t="s">
        <v>654</v>
      </c>
      <c r="D20" s="189"/>
      <c r="F20" s="151" t="s">
        <v>141</v>
      </c>
      <c r="G20" s="151"/>
      <c r="H20" s="152"/>
      <c r="I20" s="153"/>
    </row>
    <row r="21" ht="18.75" customHeight="1">
      <c r="B21" s="210">
        <v>9.0</v>
      </c>
      <c r="C21" s="203" t="s">
        <v>655</v>
      </c>
      <c r="D21" s="189"/>
      <c r="F21" s="151" t="s">
        <v>141</v>
      </c>
      <c r="G21" s="151"/>
      <c r="H21" s="152"/>
      <c r="I21" s="153"/>
    </row>
    <row r="22" ht="18.75" customHeight="1">
      <c r="B22" s="210">
        <v>10.0</v>
      </c>
      <c r="C22" s="203" t="s">
        <v>656</v>
      </c>
      <c r="D22" s="189"/>
      <c r="F22" s="151" t="s">
        <v>141</v>
      </c>
      <c r="G22" s="151"/>
      <c r="H22" s="152"/>
      <c r="I22" s="153"/>
    </row>
    <row r="23" ht="18.75" customHeight="1">
      <c r="B23" s="207">
        <v>11.0</v>
      </c>
      <c r="C23" s="194" t="s">
        <v>657</v>
      </c>
      <c r="D23" s="189"/>
      <c r="F23" s="151" t="s">
        <v>141</v>
      </c>
      <c r="G23" s="151"/>
      <c r="H23" s="152"/>
      <c r="I23" s="153"/>
    </row>
    <row r="24" ht="18.75" customHeight="1">
      <c r="B24" s="210">
        <v>12.0</v>
      </c>
      <c r="C24" s="202" t="s">
        <v>658</v>
      </c>
      <c r="D24" s="189"/>
      <c r="F24" s="151" t="s">
        <v>141</v>
      </c>
      <c r="G24" s="151"/>
      <c r="H24" s="152"/>
      <c r="I24" s="153"/>
    </row>
    <row r="25" ht="18.75" customHeight="1">
      <c r="B25" s="210">
        <v>13.0</v>
      </c>
      <c r="C25" s="194" t="s">
        <v>659</v>
      </c>
      <c r="D25" s="189"/>
      <c r="F25" s="151" t="s">
        <v>141</v>
      </c>
      <c r="G25" s="151"/>
      <c r="H25" s="152"/>
      <c r="I25" s="153"/>
    </row>
    <row r="26" ht="18.75" customHeight="1">
      <c r="B26" s="210">
        <v>14.0</v>
      </c>
      <c r="C26" s="203" t="s">
        <v>660</v>
      </c>
      <c r="D26" s="189"/>
      <c r="F26" s="151" t="s">
        <v>141</v>
      </c>
      <c r="G26" s="151"/>
      <c r="H26" s="152"/>
      <c r="I26" s="153"/>
    </row>
    <row r="27" ht="18.75" customHeight="1">
      <c r="B27" s="210">
        <v>15.0</v>
      </c>
      <c r="C27" s="203" t="s">
        <v>661</v>
      </c>
      <c r="D27" s="189"/>
      <c r="F27" s="151" t="s">
        <v>141</v>
      </c>
      <c r="G27" s="151"/>
      <c r="H27" s="152"/>
      <c r="I27" s="153"/>
    </row>
    <row r="28" ht="18.75" customHeight="1">
      <c r="B28" s="207">
        <v>16.0</v>
      </c>
      <c r="C28" s="194" t="s">
        <v>662</v>
      </c>
      <c r="D28" s="189"/>
      <c r="F28" s="151" t="s">
        <v>141</v>
      </c>
      <c r="G28" s="151"/>
      <c r="H28" s="152"/>
      <c r="I28" s="153"/>
    </row>
    <row r="29" ht="18.75" customHeight="1">
      <c r="B29" s="210">
        <v>17.0</v>
      </c>
      <c r="C29" s="202" t="s">
        <v>663</v>
      </c>
      <c r="D29" s="189"/>
      <c r="F29" s="151" t="s">
        <v>141</v>
      </c>
      <c r="G29" s="151"/>
      <c r="H29" s="152"/>
      <c r="I29" s="153"/>
    </row>
    <row r="30" ht="18.75" customHeight="1">
      <c r="B30" s="210">
        <v>18.0</v>
      </c>
      <c r="C30" s="194" t="s">
        <v>664</v>
      </c>
      <c r="D30" s="189"/>
      <c r="F30" s="151" t="s">
        <v>141</v>
      </c>
      <c r="G30" s="151"/>
      <c r="H30" s="152"/>
      <c r="I30" s="153"/>
    </row>
    <row r="31" ht="18.75" customHeight="1">
      <c r="B31" s="210">
        <v>19.0</v>
      </c>
      <c r="C31" s="203" t="s">
        <v>665</v>
      </c>
      <c r="D31" s="189"/>
      <c r="F31" s="151" t="s">
        <v>141</v>
      </c>
      <c r="G31" s="151"/>
      <c r="H31" s="152"/>
      <c r="I31" s="153"/>
    </row>
    <row r="32" ht="18.75" customHeight="1">
      <c r="B32" s="210">
        <v>20.0</v>
      </c>
      <c r="C32" s="203" t="s">
        <v>666</v>
      </c>
      <c r="D32" s="189"/>
      <c r="F32" s="151" t="s">
        <v>141</v>
      </c>
      <c r="G32" s="151"/>
      <c r="H32" s="152"/>
      <c r="I32" s="153"/>
    </row>
    <row r="33" ht="18.75" customHeight="1">
      <c r="B33" s="207">
        <v>21.0</v>
      </c>
      <c r="C33" s="194" t="s">
        <v>667</v>
      </c>
      <c r="D33" s="189"/>
      <c r="F33" s="151" t="s">
        <v>141</v>
      </c>
      <c r="G33" s="151"/>
      <c r="H33" s="152"/>
      <c r="I33" s="153"/>
    </row>
    <row r="34" ht="18.75" customHeight="1">
      <c r="B34" s="210">
        <v>22.0</v>
      </c>
      <c r="C34" s="202" t="s">
        <v>668</v>
      </c>
      <c r="D34" s="189"/>
      <c r="F34" s="151" t="s">
        <v>141</v>
      </c>
      <c r="G34" s="151"/>
      <c r="H34" s="152"/>
      <c r="I34" s="153"/>
    </row>
    <row r="35" ht="18.75" customHeight="1">
      <c r="B35" s="210">
        <v>23.0</v>
      </c>
      <c r="C35" s="194" t="s">
        <v>669</v>
      </c>
      <c r="D35" s="189"/>
      <c r="F35" s="151" t="s">
        <v>141</v>
      </c>
      <c r="G35" s="151"/>
      <c r="H35" s="152"/>
      <c r="I35" s="153"/>
    </row>
    <row r="36" ht="18.75" customHeight="1">
      <c r="B36" s="210">
        <v>24.0</v>
      </c>
      <c r="C36" s="203" t="s">
        <v>670</v>
      </c>
      <c r="D36" s="189"/>
      <c r="F36" s="151" t="s">
        <v>141</v>
      </c>
      <c r="G36" s="151"/>
      <c r="H36" s="152"/>
      <c r="I36" s="153"/>
    </row>
    <row r="37" ht="18.75" customHeight="1">
      <c r="B37" s="210">
        <v>25.0</v>
      </c>
      <c r="C37" s="203" t="s">
        <v>671</v>
      </c>
      <c r="D37" s="189"/>
      <c r="F37" s="151" t="s">
        <v>141</v>
      </c>
      <c r="G37" s="151"/>
      <c r="H37" s="152"/>
      <c r="I37" s="153"/>
    </row>
    <row r="38" ht="18.75" customHeight="1">
      <c r="B38" s="207">
        <v>26.0</v>
      </c>
      <c r="C38" s="194" t="s">
        <v>672</v>
      </c>
      <c r="D38" s="189"/>
      <c r="F38" s="151" t="s">
        <v>141</v>
      </c>
      <c r="G38" s="151"/>
      <c r="H38" s="152"/>
      <c r="I38" s="153"/>
    </row>
    <row r="39" ht="18.75" customHeight="1">
      <c r="B39" s="210">
        <v>27.0</v>
      </c>
      <c r="C39" s="202" t="s">
        <v>673</v>
      </c>
      <c r="D39" s="189"/>
      <c r="F39" s="151" t="s">
        <v>141</v>
      </c>
      <c r="G39" s="151"/>
      <c r="H39" s="152"/>
      <c r="I39" s="153"/>
    </row>
    <row r="40" ht="18.75" customHeight="1">
      <c r="B40" s="210">
        <v>28.0</v>
      </c>
      <c r="C40" s="194" t="s">
        <v>674</v>
      </c>
      <c r="D40" s="189"/>
      <c r="F40" s="151" t="s">
        <v>141</v>
      </c>
      <c r="G40" s="151"/>
      <c r="H40" s="152"/>
      <c r="I40" s="153"/>
    </row>
    <row r="41" ht="18.75" customHeight="1">
      <c r="B41" s="210">
        <v>29.0</v>
      </c>
      <c r="C41" s="203" t="s">
        <v>675</v>
      </c>
      <c r="D41" s="189"/>
      <c r="F41" s="151" t="s">
        <v>141</v>
      </c>
      <c r="G41" s="151"/>
      <c r="H41" s="152"/>
      <c r="I41" s="153"/>
    </row>
    <row r="42" ht="18.75" customHeight="1">
      <c r="B42" s="210">
        <v>30.0</v>
      </c>
      <c r="C42" s="203" t="s">
        <v>676</v>
      </c>
      <c r="D42" s="189"/>
      <c r="F42" s="151" t="s">
        <v>141</v>
      </c>
      <c r="G42" s="151"/>
      <c r="H42" s="152"/>
      <c r="I42" s="153"/>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7:D37"/>
    <mergeCell ref="C38:D38"/>
    <mergeCell ref="C39:D39"/>
    <mergeCell ref="C40:D40"/>
    <mergeCell ref="C41:D41"/>
    <mergeCell ref="C42:D42"/>
    <mergeCell ref="C30:D30"/>
    <mergeCell ref="C31:D31"/>
    <mergeCell ref="C32:D32"/>
    <mergeCell ref="C33:D33"/>
    <mergeCell ref="C34:D34"/>
    <mergeCell ref="C35:D35"/>
    <mergeCell ref="C36:D36"/>
  </mergeCells>
  <hyperlinks>
    <hyperlink r:id="rId1" ref="B8"/>
  </hyperlinks>
  <printOptions/>
  <pageMargins bottom="0.75" footer="0.0" header="0.0" left="0.7" right="0.7" top="0.75"/>
  <pageSetup paperSize="9" orientation="portrait"/>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496B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65.71"/>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COUNT(B12:D75)</f>
        <v>8</v>
      </c>
    </row>
    <row r="4">
      <c r="B4" s="33" t="s">
        <v>127</v>
      </c>
      <c r="C4" s="34" t="s">
        <v>128</v>
      </c>
      <c r="K4" s="31" t="s">
        <v>129</v>
      </c>
      <c r="L4" s="32">
        <f>COUNTIF(F12:F75,"X")</f>
        <v>8</v>
      </c>
    </row>
    <row r="5">
      <c r="B5" s="33" t="s">
        <v>130</v>
      </c>
      <c r="C5" s="34" t="s">
        <v>131</v>
      </c>
      <c r="K5" s="31" t="s">
        <v>134</v>
      </c>
      <c r="L5" s="35" t="str">
        <f>PERCENTOF(L4,L3)</f>
        <v>#NAME?</v>
      </c>
    </row>
    <row r="6">
      <c r="B6" s="33" t="s">
        <v>132</v>
      </c>
      <c r="C6" s="34" t="s">
        <v>133</v>
      </c>
    </row>
    <row r="7">
      <c r="B7" s="66" t="s">
        <v>135</v>
      </c>
      <c r="D7" s="34" t="s">
        <v>136</v>
      </c>
    </row>
    <row r="8">
      <c r="B8" s="173" t="s">
        <v>677</v>
      </c>
      <c r="C8" s="66"/>
      <c r="D8" s="34"/>
    </row>
    <row r="9" ht="16.5" customHeight="1">
      <c r="B9" s="174"/>
      <c r="E9" s="175"/>
      <c r="F9" s="175"/>
      <c r="G9" s="175"/>
      <c r="H9" s="175"/>
      <c r="I9" s="175"/>
    </row>
    <row r="10" ht="21.0" customHeight="1">
      <c r="F10" s="37" t="s">
        <v>137</v>
      </c>
      <c r="G10" s="38"/>
      <c r="H10" s="39"/>
      <c r="I10" s="40" t="s">
        <v>250</v>
      </c>
    </row>
    <row r="11" ht="20.25" customHeight="1">
      <c r="B11" s="206" t="s">
        <v>678</v>
      </c>
      <c r="C11" s="27"/>
      <c r="D11" s="27"/>
      <c r="E11" s="43"/>
      <c r="F11" s="44" t="s">
        <v>127</v>
      </c>
      <c r="G11" s="45" t="s">
        <v>130</v>
      </c>
      <c r="H11" s="45" t="s">
        <v>132</v>
      </c>
      <c r="I11" s="46"/>
      <c r="J11" s="67"/>
    </row>
    <row r="12" ht="11.25" customHeight="1">
      <c r="C12" s="177"/>
      <c r="F12" s="147"/>
      <c r="G12" s="147"/>
      <c r="H12" s="147"/>
      <c r="I12" s="147"/>
    </row>
    <row r="13">
      <c r="B13" s="207">
        <v>1.0</v>
      </c>
      <c r="C13" s="194" t="s">
        <v>679</v>
      </c>
      <c r="D13" s="189"/>
      <c r="E13" s="54"/>
      <c r="F13" s="151" t="s">
        <v>141</v>
      </c>
      <c r="G13" s="151"/>
      <c r="H13" s="152"/>
      <c r="I13" s="190" t="s">
        <v>255</v>
      </c>
    </row>
    <row r="14">
      <c r="B14" s="210">
        <v>2.0</v>
      </c>
      <c r="C14" s="202" t="s">
        <v>680</v>
      </c>
      <c r="D14" s="189"/>
      <c r="E14" s="211"/>
      <c r="F14" s="151" t="s">
        <v>141</v>
      </c>
      <c r="G14" s="151"/>
      <c r="H14" s="152"/>
      <c r="I14" s="190" t="s">
        <v>255</v>
      </c>
    </row>
    <row r="15">
      <c r="B15" s="210">
        <v>3.0</v>
      </c>
      <c r="C15" s="194" t="s">
        <v>681</v>
      </c>
      <c r="D15" s="189"/>
      <c r="E15" s="54"/>
      <c r="F15" s="151" t="s">
        <v>141</v>
      </c>
      <c r="G15" s="151"/>
      <c r="H15" s="152"/>
      <c r="I15" s="190" t="s">
        <v>255</v>
      </c>
    </row>
    <row r="16">
      <c r="B16" s="210">
        <v>4.0</v>
      </c>
      <c r="C16" s="203" t="s">
        <v>682</v>
      </c>
      <c r="D16" s="189"/>
      <c r="E16" s="54"/>
      <c r="F16" s="151" t="s">
        <v>141</v>
      </c>
      <c r="G16" s="151"/>
      <c r="H16" s="152"/>
      <c r="I16" s="190" t="s">
        <v>683</v>
      </c>
    </row>
    <row r="17">
      <c r="B17" s="210">
        <v>5.0</v>
      </c>
      <c r="C17" s="203" t="s">
        <v>684</v>
      </c>
      <c r="D17" s="189"/>
      <c r="E17" s="54"/>
      <c r="F17" s="151" t="s">
        <v>141</v>
      </c>
      <c r="G17" s="151"/>
      <c r="H17" s="152"/>
      <c r="I17" s="190" t="s">
        <v>255</v>
      </c>
    </row>
    <row r="18" ht="18.75" customHeight="1">
      <c r="B18" s="207">
        <v>6.0</v>
      </c>
      <c r="C18" s="194" t="s">
        <v>685</v>
      </c>
      <c r="D18" s="189"/>
      <c r="F18" s="151" t="s">
        <v>141</v>
      </c>
      <c r="G18" s="151"/>
      <c r="H18" s="152"/>
      <c r="I18" s="190" t="s">
        <v>255</v>
      </c>
    </row>
    <row r="19" ht="18.75" customHeight="1">
      <c r="B19" s="210">
        <v>7.0</v>
      </c>
      <c r="C19" s="202" t="s">
        <v>686</v>
      </c>
      <c r="D19" s="189"/>
      <c r="F19" s="151" t="s">
        <v>141</v>
      </c>
      <c r="G19" s="151"/>
      <c r="H19" s="152"/>
      <c r="I19" s="190" t="s">
        <v>255</v>
      </c>
    </row>
    <row r="20" ht="18.75" customHeight="1">
      <c r="B20" s="210">
        <v>8.0</v>
      </c>
      <c r="C20" s="194" t="s">
        <v>687</v>
      </c>
      <c r="D20" s="189"/>
      <c r="F20" s="151" t="s">
        <v>141</v>
      </c>
      <c r="G20" s="151"/>
      <c r="H20" s="213" t="s">
        <v>141</v>
      </c>
      <c r="I20" s="190" t="s">
        <v>688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sheetData>
  <mergeCells count="19">
    <mergeCell ref="B2:I2"/>
    <mergeCell ref="K2:L2"/>
    <mergeCell ref="C4:D4"/>
    <mergeCell ref="C5:D5"/>
    <mergeCell ref="C6:D6"/>
    <mergeCell ref="B7:C7"/>
    <mergeCell ref="B9:D9"/>
    <mergeCell ref="C16:D16"/>
    <mergeCell ref="C17:D17"/>
    <mergeCell ref="C18:D18"/>
    <mergeCell ref="C19:D19"/>
    <mergeCell ref="C20:D20"/>
    <mergeCell ref="F10:H10"/>
    <mergeCell ref="I10:I11"/>
    <mergeCell ref="B11:D11"/>
    <mergeCell ref="C12:D12"/>
    <mergeCell ref="C13:D13"/>
    <mergeCell ref="C14:D14"/>
    <mergeCell ref="C15:D15"/>
  </mergeCells>
  <hyperlinks>
    <hyperlink r:id="rId1" ref="B8"/>
  </hyperlinks>
  <printOptions/>
  <pageMargins bottom="0.75" footer="0.0" header="0.0" left="0.7" right="0.7" top="0.75"/>
  <pageSetup paperSize="9" orientation="portrait"/>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496B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COUNT(B12:D97)</f>
        <v>30</v>
      </c>
    </row>
    <row r="4">
      <c r="B4" s="33" t="s">
        <v>127</v>
      </c>
      <c r="C4" s="34" t="s">
        <v>128</v>
      </c>
      <c r="K4" s="31" t="s">
        <v>129</v>
      </c>
      <c r="L4" s="32">
        <f>COUNTIF(F12:F97,"X")</f>
        <v>30</v>
      </c>
    </row>
    <row r="5">
      <c r="B5" s="33" t="s">
        <v>130</v>
      </c>
      <c r="C5" s="34" t="s">
        <v>131</v>
      </c>
      <c r="K5" s="31" t="s">
        <v>134</v>
      </c>
      <c r="L5" s="35" t="str">
        <f>PERCENTOF(L4,L3)</f>
        <v>#NAME?</v>
      </c>
    </row>
    <row r="6">
      <c r="B6" s="33" t="s">
        <v>132</v>
      </c>
      <c r="C6" s="34" t="s">
        <v>133</v>
      </c>
    </row>
    <row r="7">
      <c r="B7" s="66" t="s">
        <v>135</v>
      </c>
      <c r="D7" s="34" t="s">
        <v>136</v>
      </c>
    </row>
    <row r="8">
      <c r="B8" s="173" t="s">
        <v>677</v>
      </c>
      <c r="C8" s="66"/>
      <c r="D8" s="34"/>
    </row>
    <row r="9" ht="16.5" customHeight="1">
      <c r="B9" s="174"/>
      <c r="E9" s="175"/>
      <c r="F9" s="175"/>
      <c r="G9" s="175"/>
      <c r="H9" s="175"/>
      <c r="I9" s="175"/>
    </row>
    <row r="10" ht="21.0" customHeight="1">
      <c r="F10" s="37" t="s">
        <v>137</v>
      </c>
      <c r="G10" s="38"/>
      <c r="H10" s="39"/>
      <c r="I10" s="40" t="s">
        <v>250</v>
      </c>
    </row>
    <row r="11" ht="20.25" customHeight="1">
      <c r="B11" s="206" t="s">
        <v>678</v>
      </c>
      <c r="C11" s="27"/>
      <c r="D11" s="27"/>
      <c r="E11" s="43"/>
      <c r="F11" s="44" t="s">
        <v>127</v>
      </c>
      <c r="G11" s="45" t="s">
        <v>130</v>
      </c>
      <c r="H11" s="45" t="s">
        <v>132</v>
      </c>
      <c r="I11" s="46"/>
      <c r="J11" s="67"/>
    </row>
    <row r="12" ht="11.25" customHeight="1">
      <c r="C12" s="177"/>
      <c r="F12" s="147"/>
      <c r="G12" s="147"/>
      <c r="H12" s="147"/>
      <c r="I12" s="147"/>
    </row>
    <row r="13">
      <c r="B13" s="207">
        <v>1.0</v>
      </c>
      <c r="C13" s="194" t="s">
        <v>491</v>
      </c>
      <c r="D13" s="189"/>
      <c r="E13" s="54"/>
      <c r="F13" s="151" t="s">
        <v>141</v>
      </c>
      <c r="G13" s="151"/>
      <c r="H13" s="152"/>
      <c r="I13" s="153"/>
    </row>
    <row r="14">
      <c r="B14" s="210">
        <v>2.0</v>
      </c>
      <c r="C14" s="202" t="s">
        <v>492</v>
      </c>
      <c r="D14" s="189"/>
      <c r="E14" s="211"/>
      <c r="F14" s="151" t="s">
        <v>141</v>
      </c>
      <c r="G14" s="151"/>
      <c r="H14" s="152"/>
      <c r="I14" s="153"/>
    </row>
    <row r="15">
      <c r="B15" s="210">
        <v>3.0</v>
      </c>
      <c r="C15" s="194" t="s">
        <v>493</v>
      </c>
      <c r="D15" s="189"/>
      <c r="E15" s="54"/>
      <c r="F15" s="151" t="s">
        <v>141</v>
      </c>
      <c r="G15" s="151"/>
      <c r="H15" s="152"/>
      <c r="I15" s="153"/>
    </row>
    <row r="16">
      <c r="B16" s="210">
        <v>4.0</v>
      </c>
      <c r="C16" s="203" t="s">
        <v>494</v>
      </c>
      <c r="D16" s="189"/>
      <c r="E16" s="54"/>
      <c r="F16" s="151" t="s">
        <v>141</v>
      </c>
      <c r="G16" s="151"/>
      <c r="H16" s="152"/>
      <c r="I16" s="153"/>
    </row>
    <row r="17">
      <c r="B17" s="210">
        <v>5.0</v>
      </c>
      <c r="C17" s="203" t="s">
        <v>495</v>
      </c>
      <c r="D17" s="189"/>
      <c r="E17" s="54"/>
      <c r="F17" s="151" t="s">
        <v>141</v>
      </c>
      <c r="G17" s="151"/>
      <c r="H17" s="152"/>
      <c r="I17" s="153"/>
    </row>
    <row r="18" ht="18.75" customHeight="1">
      <c r="B18" s="207">
        <v>6.0</v>
      </c>
      <c r="C18" s="194" t="s">
        <v>496</v>
      </c>
      <c r="D18" s="189"/>
      <c r="F18" s="151" t="s">
        <v>141</v>
      </c>
      <c r="G18" s="151"/>
      <c r="H18" s="152"/>
      <c r="I18" s="153"/>
    </row>
    <row r="19" ht="18.75" customHeight="1">
      <c r="B19" s="210">
        <v>7.0</v>
      </c>
      <c r="C19" s="202" t="s">
        <v>497</v>
      </c>
      <c r="D19" s="189"/>
      <c r="F19" s="151" t="s">
        <v>141</v>
      </c>
      <c r="G19" s="151"/>
      <c r="H19" s="152"/>
      <c r="I19" s="153"/>
    </row>
    <row r="20" ht="18.75" customHeight="1">
      <c r="B20" s="210">
        <v>8.0</v>
      </c>
      <c r="C20" s="194" t="s">
        <v>498</v>
      </c>
      <c r="D20" s="189"/>
      <c r="F20" s="151" t="s">
        <v>141</v>
      </c>
      <c r="G20" s="151"/>
      <c r="H20" s="152"/>
      <c r="I20" s="153"/>
    </row>
    <row r="21" ht="18.75" customHeight="1">
      <c r="B21" s="210">
        <v>9.0</v>
      </c>
      <c r="C21" s="203" t="s">
        <v>499</v>
      </c>
      <c r="D21" s="189"/>
      <c r="F21" s="151" t="s">
        <v>141</v>
      </c>
      <c r="G21" s="151"/>
      <c r="H21" s="152"/>
      <c r="I21" s="153"/>
    </row>
    <row r="22" ht="18.75" customHeight="1">
      <c r="B22" s="210">
        <v>10.0</v>
      </c>
      <c r="C22" s="203" t="s">
        <v>500</v>
      </c>
      <c r="D22" s="189"/>
      <c r="F22" s="151" t="s">
        <v>141</v>
      </c>
      <c r="G22" s="151"/>
      <c r="H22" s="152"/>
      <c r="I22" s="153"/>
    </row>
    <row r="23" ht="18.75" customHeight="1">
      <c r="B23" s="207">
        <v>11.0</v>
      </c>
      <c r="C23" s="194" t="s">
        <v>501</v>
      </c>
      <c r="D23" s="189"/>
      <c r="F23" s="151" t="s">
        <v>141</v>
      </c>
      <c r="G23" s="151"/>
      <c r="H23" s="152"/>
      <c r="I23" s="153"/>
    </row>
    <row r="24" ht="18.75" customHeight="1">
      <c r="B24" s="210">
        <v>12.0</v>
      </c>
      <c r="C24" s="194" t="s">
        <v>502</v>
      </c>
      <c r="D24" s="189"/>
      <c r="F24" s="151" t="s">
        <v>141</v>
      </c>
      <c r="G24" s="151"/>
      <c r="H24" s="152"/>
      <c r="I24" s="153"/>
    </row>
    <row r="25" ht="18.75" customHeight="1">
      <c r="B25" s="210">
        <v>13.0</v>
      </c>
      <c r="C25" s="203" t="s">
        <v>503</v>
      </c>
      <c r="D25" s="189"/>
      <c r="F25" s="151" t="s">
        <v>141</v>
      </c>
      <c r="G25" s="151"/>
      <c r="H25" s="152"/>
      <c r="I25" s="153"/>
    </row>
    <row r="26" ht="18.75" customHeight="1">
      <c r="B26" s="210">
        <v>14.0</v>
      </c>
      <c r="C26" s="203" t="s">
        <v>504</v>
      </c>
      <c r="D26" s="189"/>
      <c r="F26" s="151" t="s">
        <v>141</v>
      </c>
      <c r="G26" s="151"/>
      <c r="H26" s="152"/>
      <c r="I26" s="153"/>
    </row>
    <row r="27" ht="18.75" customHeight="1">
      <c r="B27" s="207">
        <v>15.0</v>
      </c>
      <c r="C27" s="194" t="s">
        <v>505</v>
      </c>
      <c r="D27" s="189"/>
      <c r="F27" s="151" t="s">
        <v>141</v>
      </c>
      <c r="G27" s="151"/>
      <c r="H27" s="152"/>
      <c r="I27" s="153"/>
    </row>
    <row r="28" ht="18.75" customHeight="1">
      <c r="B28" s="210">
        <v>16.0</v>
      </c>
      <c r="C28" s="202" t="s">
        <v>506</v>
      </c>
      <c r="D28" s="189"/>
      <c r="F28" s="151" t="s">
        <v>141</v>
      </c>
      <c r="G28" s="151"/>
      <c r="H28" s="152"/>
      <c r="I28" s="153"/>
    </row>
    <row r="29" ht="18.75" customHeight="1">
      <c r="B29" s="210">
        <v>17.0</v>
      </c>
      <c r="C29" s="194" t="s">
        <v>507</v>
      </c>
      <c r="D29" s="189"/>
      <c r="F29" s="151" t="s">
        <v>141</v>
      </c>
      <c r="G29" s="151"/>
      <c r="H29" s="152"/>
      <c r="I29" s="153"/>
    </row>
    <row r="30" ht="18.75" customHeight="1">
      <c r="B30" s="210">
        <v>18.0</v>
      </c>
      <c r="C30" s="203" t="s">
        <v>508</v>
      </c>
      <c r="D30" s="189"/>
      <c r="F30" s="151" t="s">
        <v>141</v>
      </c>
      <c r="G30" s="151"/>
      <c r="H30" s="152"/>
      <c r="I30" s="153"/>
    </row>
    <row r="31" ht="18.75" customHeight="1">
      <c r="B31" s="210">
        <v>19.0</v>
      </c>
      <c r="C31" s="203" t="s">
        <v>509</v>
      </c>
      <c r="D31" s="189"/>
      <c r="F31" s="151" t="s">
        <v>141</v>
      </c>
      <c r="G31" s="151"/>
      <c r="H31" s="152"/>
      <c r="I31" s="153"/>
    </row>
    <row r="32" ht="18.75" customHeight="1">
      <c r="B32" s="207">
        <v>20.0</v>
      </c>
      <c r="C32" s="194" t="s">
        <v>510</v>
      </c>
      <c r="D32" s="189"/>
      <c r="F32" s="151" t="s">
        <v>141</v>
      </c>
      <c r="G32" s="151"/>
      <c r="H32" s="152"/>
      <c r="I32" s="153"/>
    </row>
    <row r="33" ht="18.75" customHeight="1">
      <c r="B33" s="210">
        <v>21.0</v>
      </c>
      <c r="C33" s="202" t="s">
        <v>511</v>
      </c>
      <c r="D33" s="189"/>
      <c r="F33" s="151" t="s">
        <v>141</v>
      </c>
      <c r="G33" s="151"/>
      <c r="H33" s="152"/>
      <c r="I33" s="153"/>
    </row>
    <row r="34" ht="18.75" customHeight="1">
      <c r="B34" s="210">
        <v>22.0</v>
      </c>
      <c r="C34" s="194" t="s">
        <v>512</v>
      </c>
      <c r="D34" s="189"/>
      <c r="F34" s="151" t="s">
        <v>141</v>
      </c>
      <c r="G34" s="151"/>
      <c r="H34" s="152"/>
      <c r="I34" s="153"/>
    </row>
    <row r="35" ht="18.75" customHeight="1">
      <c r="B35" s="210">
        <v>23.0</v>
      </c>
      <c r="C35" s="203" t="s">
        <v>513</v>
      </c>
      <c r="D35" s="189"/>
      <c r="F35" s="151" t="s">
        <v>141</v>
      </c>
      <c r="G35" s="151"/>
      <c r="H35" s="152"/>
      <c r="I35" s="153"/>
    </row>
    <row r="36" ht="18.75" customHeight="1">
      <c r="B36" s="210">
        <v>24.0</v>
      </c>
      <c r="C36" s="203" t="s">
        <v>514</v>
      </c>
      <c r="D36" s="189"/>
      <c r="F36" s="151" t="s">
        <v>141</v>
      </c>
      <c r="G36" s="151"/>
      <c r="H36" s="152"/>
      <c r="I36" s="153"/>
    </row>
    <row r="37" ht="18.75" customHeight="1">
      <c r="B37" s="207">
        <v>25.0</v>
      </c>
      <c r="C37" s="194" t="s">
        <v>515</v>
      </c>
      <c r="D37" s="189"/>
      <c r="F37" s="151" t="s">
        <v>141</v>
      </c>
      <c r="G37" s="151"/>
      <c r="H37" s="152"/>
      <c r="I37" s="153"/>
    </row>
    <row r="38" ht="18.75" customHeight="1">
      <c r="B38" s="210">
        <v>26.0</v>
      </c>
      <c r="C38" s="202" t="s">
        <v>516</v>
      </c>
      <c r="D38" s="189"/>
      <c r="F38" s="151" t="s">
        <v>141</v>
      </c>
      <c r="G38" s="151"/>
      <c r="H38" s="152"/>
      <c r="I38" s="153"/>
    </row>
    <row r="39" ht="18.75" customHeight="1">
      <c r="B39" s="210">
        <v>27.0</v>
      </c>
      <c r="C39" s="194" t="s">
        <v>517</v>
      </c>
      <c r="D39" s="189"/>
      <c r="F39" s="151" t="s">
        <v>141</v>
      </c>
      <c r="G39" s="151"/>
      <c r="H39" s="152"/>
      <c r="I39" s="153"/>
    </row>
    <row r="40" ht="18.75" customHeight="1">
      <c r="B40" s="210">
        <v>28.0</v>
      </c>
      <c r="C40" s="203" t="s">
        <v>518</v>
      </c>
      <c r="D40" s="189"/>
      <c r="F40" s="151" t="s">
        <v>141</v>
      </c>
      <c r="G40" s="151"/>
      <c r="H40" s="152"/>
      <c r="I40" s="153"/>
    </row>
    <row r="41" ht="18.75" customHeight="1">
      <c r="B41" s="210">
        <v>29.0</v>
      </c>
      <c r="C41" s="203" t="s">
        <v>519</v>
      </c>
      <c r="D41" s="189"/>
      <c r="F41" s="151" t="s">
        <v>141</v>
      </c>
      <c r="G41" s="151"/>
      <c r="H41" s="152"/>
      <c r="I41" s="153"/>
    </row>
    <row r="42" ht="15.75" customHeight="1">
      <c r="B42" s="210">
        <v>30.0</v>
      </c>
      <c r="C42" s="203" t="s">
        <v>520</v>
      </c>
      <c r="D42" s="189"/>
      <c r="F42" s="151" t="s">
        <v>141</v>
      </c>
      <c r="G42" s="151"/>
      <c r="H42" s="152"/>
      <c r="I42" s="153"/>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7:D37"/>
    <mergeCell ref="C38:D38"/>
    <mergeCell ref="C39:D39"/>
    <mergeCell ref="C40:D40"/>
    <mergeCell ref="C41:D41"/>
    <mergeCell ref="C42:D42"/>
    <mergeCell ref="C30:D30"/>
    <mergeCell ref="C31:D31"/>
    <mergeCell ref="C32:D32"/>
    <mergeCell ref="C33:D33"/>
    <mergeCell ref="C34:D34"/>
    <mergeCell ref="C35:D35"/>
    <mergeCell ref="C36:D36"/>
  </mergeCells>
  <hyperlinks>
    <hyperlink r:id="rId1" ref="B8"/>
  </hyperlinks>
  <printOptions/>
  <pageMargins bottom="0.75" footer="0.0" header="0.0" left="0.7" right="0.7" top="0.75"/>
  <pageSetup paperSize="9" orientation="portrait"/>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31.57"/>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COUNT(B12:D58)</f>
        <v>2</v>
      </c>
    </row>
    <row r="4">
      <c r="B4" s="33" t="s">
        <v>127</v>
      </c>
      <c r="C4" s="34" t="s">
        <v>128</v>
      </c>
      <c r="K4" s="31" t="s">
        <v>129</v>
      </c>
      <c r="L4" s="32">
        <f>COUNTIF(F12:F58,"X")</f>
        <v>1</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214" t="s">
        <v>689</v>
      </c>
      <c r="E9" s="175"/>
      <c r="F9" s="175"/>
      <c r="G9" s="175"/>
      <c r="H9" s="175"/>
      <c r="I9" s="175"/>
    </row>
    <row r="10" ht="21.0" customHeight="1">
      <c r="F10" s="37" t="s">
        <v>137</v>
      </c>
      <c r="G10" s="38"/>
      <c r="H10" s="39"/>
      <c r="I10" s="40" t="s">
        <v>250</v>
      </c>
    </row>
    <row r="11" ht="20.25" customHeight="1">
      <c r="B11" s="206" t="s">
        <v>690</v>
      </c>
      <c r="C11" s="27"/>
      <c r="D11" s="27"/>
      <c r="E11" s="43"/>
      <c r="F11" s="44" t="s">
        <v>127</v>
      </c>
      <c r="G11" s="45" t="s">
        <v>130</v>
      </c>
      <c r="H11" s="45" t="s">
        <v>132</v>
      </c>
      <c r="I11" s="46"/>
      <c r="J11" s="67"/>
    </row>
    <row r="12" ht="11.25" customHeight="1">
      <c r="C12" s="177"/>
      <c r="F12" s="147"/>
      <c r="G12" s="147"/>
      <c r="H12" s="147"/>
      <c r="I12" s="147"/>
    </row>
    <row r="13">
      <c r="B13" s="207">
        <v>1.0</v>
      </c>
      <c r="C13" s="202" t="s">
        <v>691</v>
      </c>
      <c r="D13" s="189"/>
      <c r="E13" s="54"/>
      <c r="F13" s="151"/>
      <c r="G13" s="151"/>
      <c r="H13" s="213" t="s">
        <v>141</v>
      </c>
      <c r="I13" s="190" t="s">
        <v>692</v>
      </c>
    </row>
    <row r="14" ht="18.75" customHeight="1">
      <c r="B14" s="210">
        <v>2.0</v>
      </c>
      <c r="C14" s="203" t="s">
        <v>693</v>
      </c>
      <c r="D14" s="189"/>
      <c r="E14" s="54"/>
      <c r="F14" s="151" t="s">
        <v>141</v>
      </c>
      <c r="G14" s="151"/>
      <c r="H14" s="152"/>
      <c r="I14" s="190" t="s">
        <v>255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F10:H10"/>
    <mergeCell ref="I10:I11"/>
    <mergeCell ref="B11:D11"/>
    <mergeCell ref="C12:D12"/>
    <mergeCell ref="C13:D13"/>
    <mergeCell ref="C14:D14"/>
    <mergeCell ref="B2:I2"/>
    <mergeCell ref="K2:L2"/>
    <mergeCell ref="C4:D4"/>
    <mergeCell ref="C5:D5"/>
    <mergeCell ref="C6:D6"/>
    <mergeCell ref="B7:C7"/>
    <mergeCell ref="B9:D9"/>
  </mergeCells>
  <hyperlinks>
    <hyperlink r:id="rId1" ref="B9"/>
  </hyperlinks>
  <printOptions/>
  <pageMargins bottom="0.75" footer="0.0" header="0.0" left="0.7" right="0.7" top="0.75"/>
  <pageSetup paperSize="9" orientation="portrait"/>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19.14"/>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COUNT(B12:D58)</f>
        <v>5</v>
      </c>
    </row>
    <row r="4">
      <c r="B4" s="33" t="s">
        <v>127</v>
      </c>
      <c r="C4" s="34" t="s">
        <v>128</v>
      </c>
      <c r="K4" s="31" t="s">
        <v>129</v>
      </c>
      <c r="L4" s="32">
        <f>COUNTIF(F12:F58,"X")</f>
        <v>5</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206" t="s">
        <v>694</v>
      </c>
      <c r="C11" s="27"/>
      <c r="D11" s="27"/>
      <c r="E11" s="43"/>
      <c r="F11" s="44" t="s">
        <v>127</v>
      </c>
      <c r="G11" s="45" t="s">
        <v>130</v>
      </c>
      <c r="H11" s="45" t="s">
        <v>132</v>
      </c>
      <c r="I11" s="46"/>
      <c r="J11" s="67"/>
    </row>
    <row r="12" ht="11.25" customHeight="1">
      <c r="C12" s="177"/>
      <c r="F12" s="147"/>
      <c r="G12" s="147"/>
      <c r="H12" s="147"/>
      <c r="I12" s="147"/>
    </row>
    <row r="13">
      <c r="B13" s="207">
        <v>1.0</v>
      </c>
      <c r="C13" s="202" t="s">
        <v>695</v>
      </c>
      <c r="D13" s="189"/>
      <c r="E13" s="54"/>
      <c r="F13" s="151" t="s">
        <v>141</v>
      </c>
      <c r="G13" s="151"/>
      <c r="H13" s="152"/>
      <c r="I13" s="153"/>
    </row>
    <row r="14">
      <c r="B14" s="210">
        <v>2.0</v>
      </c>
      <c r="C14" s="203" t="s">
        <v>696</v>
      </c>
      <c r="D14" s="189"/>
      <c r="E14" s="54"/>
      <c r="F14" s="151" t="s">
        <v>141</v>
      </c>
      <c r="G14" s="151"/>
      <c r="H14" s="152"/>
      <c r="I14" s="153"/>
    </row>
    <row r="15" ht="18.75" customHeight="1">
      <c r="B15" s="210">
        <v>3.0</v>
      </c>
      <c r="C15" s="203" t="s">
        <v>697</v>
      </c>
      <c r="D15" s="189"/>
      <c r="E15" s="54"/>
      <c r="F15" s="151" t="s">
        <v>141</v>
      </c>
      <c r="G15" s="151"/>
      <c r="H15" s="152"/>
      <c r="I15" s="153"/>
    </row>
    <row r="16" ht="18.75" customHeight="1">
      <c r="B16" s="210">
        <v>4.0</v>
      </c>
      <c r="C16" s="203" t="s">
        <v>698</v>
      </c>
      <c r="D16" s="189"/>
      <c r="E16" s="54"/>
      <c r="F16" s="151" t="s">
        <v>141</v>
      </c>
      <c r="G16" s="151"/>
      <c r="H16" s="152"/>
      <c r="I16" s="153"/>
    </row>
    <row r="17" ht="18.75" customHeight="1">
      <c r="B17" s="210">
        <v>5.0</v>
      </c>
      <c r="C17" s="203" t="s">
        <v>699</v>
      </c>
      <c r="D17" s="189"/>
      <c r="E17" s="54"/>
      <c r="F17" s="151" t="s">
        <v>141</v>
      </c>
      <c r="G17" s="151"/>
      <c r="H17" s="152"/>
      <c r="I17" s="15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2:I2"/>
    <mergeCell ref="K2:L2"/>
    <mergeCell ref="C4:D4"/>
    <mergeCell ref="C5:D5"/>
    <mergeCell ref="C6:D6"/>
    <mergeCell ref="B7:C7"/>
    <mergeCell ref="B9:D9"/>
    <mergeCell ref="C16:D16"/>
    <mergeCell ref="C17:D17"/>
    <mergeCell ref="F10:H10"/>
    <mergeCell ref="I10:I11"/>
    <mergeCell ref="B11:D11"/>
    <mergeCell ref="C12:D12"/>
    <mergeCell ref="C13:D13"/>
    <mergeCell ref="C14:D14"/>
    <mergeCell ref="C15:D15"/>
  </mergeCells>
  <printOptions/>
  <pageMargins bottom="0.75" footer="0.0" header="0.0" left="0.7" right="0.7" top="0.75"/>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COUNT(B12:D65)</f>
        <v>5</v>
      </c>
    </row>
    <row r="4">
      <c r="B4" s="33" t="s">
        <v>127</v>
      </c>
      <c r="C4" s="34" t="s">
        <v>128</v>
      </c>
      <c r="K4" s="31" t="s">
        <v>129</v>
      </c>
      <c r="L4" s="32">
        <f>COUNTIF(F12:F65,"X")</f>
        <v>5</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206" t="s">
        <v>700</v>
      </c>
      <c r="C11" s="27"/>
      <c r="D11" s="27"/>
      <c r="E11" s="43"/>
      <c r="F11" s="44" t="s">
        <v>127</v>
      </c>
      <c r="G11" s="45" t="s">
        <v>130</v>
      </c>
      <c r="H11" s="45" t="s">
        <v>132</v>
      </c>
      <c r="I11" s="46"/>
      <c r="J11" s="67"/>
    </row>
    <row r="12" ht="11.25" customHeight="1">
      <c r="C12" s="177"/>
      <c r="F12" s="147"/>
      <c r="G12" s="147"/>
      <c r="H12" s="147"/>
      <c r="I12" s="147"/>
    </row>
    <row r="13">
      <c r="B13" s="207">
        <v>1.0</v>
      </c>
      <c r="C13" s="215" t="s">
        <v>701</v>
      </c>
      <c r="D13" s="189"/>
      <c r="E13" s="54"/>
      <c r="F13" s="151" t="s">
        <v>141</v>
      </c>
      <c r="G13" s="151"/>
      <c r="H13" s="152"/>
      <c r="I13" s="209" t="s">
        <v>702</v>
      </c>
    </row>
    <row r="14">
      <c r="B14" s="210">
        <v>2.0</v>
      </c>
      <c r="C14" s="202" t="s">
        <v>703</v>
      </c>
      <c r="D14" s="189"/>
      <c r="E14" s="211"/>
      <c r="F14" s="151" t="s">
        <v>141</v>
      </c>
      <c r="G14" s="151"/>
      <c r="H14" s="152"/>
      <c r="I14" s="209" t="s">
        <v>702</v>
      </c>
    </row>
    <row r="15">
      <c r="B15" s="210">
        <v>3.0</v>
      </c>
      <c r="C15" s="194" t="s">
        <v>704</v>
      </c>
      <c r="D15" s="189"/>
      <c r="E15" s="54"/>
      <c r="F15" s="151" t="s">
        <v>141</v>
      </c>
      <c r="G15" s="151"/>
      <c r="H15" s="152"/>
      <c r="I15" s="209" t="s">
        <v>702</v>
      </c>
    </row>
    <row r="16">
      <c r="B16" s="210">
        <v>4.0</v>
      </c>
      <c r="C16" s="203" t="s">
        <v>705</v>
      </c>
      <c r="D16" s="189"/>
      <c r="E16" s="54"/>
      <c r="F16" s="151" t="s">
        <v>141</v>
      </c>
      <c r="G16" s="151"/>
      <c r="H16" s="152"/>
      <c r="I16" s="209" t="s">
        <v>702</v>
      </c>
    </row>
    <row r="17">
      <c r="B17" s="210">
        <v>5.0</v>
      </c>
      <c r="C17" s="203" t="s">
        <v>706</v>
      </c>
      <c r="D17" s="189"/>
      <c r="E17" s="54"/>
      <c r="F17" s="151" t="s">
        <v>141</v>
      </c>
      <c r="G17" s="151"/>
      <c r="H17" s="152"/>
      <c r="I17" s="209" t="s">
        <v>702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2:I2"/>
    <mergeCell ref="K2:L2"/>
    <mergeCell ref="C4:D4"/>
    <mergeCell ref="C5:D5"/>
    <mergeCell ref="C6:D6"/>
    <mergeCell ref="B7:C7"/>
    <mergeCell ref="B9:D9"/>
    <mergeCell ref="C16:D16"/>
    <mergeCell ref="C17:D17"/>
    <mergeCell ref="F10:H10"/>
    <mergeCell ref="I10:I11"/>
    <mergeCell ref="B11:D11"/>
    <mergeCell ref="C12:D12"/>
    <mergeCell ref="C13:D13"/>
    <mergeCell ref="C14:D14"/>
    <mergeCell ref="C15:D15"/>
  </mergeCells>
  <printOptions/>
  <pageMargins bottom="0.75" footer="0.0" header="0.0" left="0.7" right="0.7" top="0.75"/>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COUNT(B12:D100)</f>
        <v>36</v>
      </c>
    </row>
    <row r="4">
      <c r="B4" s="33" t="s">
        <v>127</v>
      </c>
      <c r="C4" s="34" t="s">
        <v>128</v>
      </c>
      <c r="K4" s="31" t="s">
        <v>129</v>
      </c>
      <c r="L4" s="32">
        <f>COUNTIF(F12:F100,"X")</f>
        <v>36</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206" t="s">
        <v>707</v>
      </c>
      <c r="C11" s="27"/>
      <c r="D11" s="27"/>
      <c r="E11" s="43"/>
      <c r="F11" s="44" t="s">
        <v>127</v>
      </c>
      <c r="G11" s="45" t="s">
        <v>130</v>
      </c>
      <c r="H11" s="45" t="s">
        <v>132</v>
      </c>
      <c r="I11" s="46"/>
      <c r="J11" s="67"/>
    </row>
    <row r="12" ht="11.25" customHeight="1">
      <c r="C12" s="177"/>
      <c r="F12" s="147"/>
      <c r="G12" s="147"/>
      <c r="H12" s="147"/>
      <c r="I12" s="147"/>
    </row>
    <row r="13">
      <c r="B13" s="207">
        <v>1.0</v>
      </c>
      <c r="C13" s="194" t="s">
        <v>708</v>
      </c>
      <c r="D13" s="189"/>
      <c r="E13" s="54"/>
      <c r="F13" s="151" t="s">
        <v>141</v>
      </c>
      <c r="G13" s="151"/>
      <c r="H13" s="152"/>
      <c r="I13" s="153"/>
    </row>
    <row r="14">
      <c r="B14" s="210">
        <v>2.0</v>
      </c>
      <c r="C14" s="202" t="s">
        <v>709</v>
      </c>
      <c r="D14" s="189"/>
      <c r="E14" s="211"/>
      <c r="F14" s="151" t="s">
        <v>141</v>
      </c>
      <c r="G14" s="151"/>
      <c r="H14" s="152"/>
      <c r="I14" s="153"/>
    </row>
    <row r="15">
      <c r="B15" s="210">
        <v>3.0</v>
      </c>
      <c r="C15" s="194" t="s">
        <v>710</v>
      </c>
      <c r="D15" s="189"/>
      <c r="E15" s="54"/>
      <c r="F15" s="151" t="s">
        <v>141</v>
      </c>
      <c r="G15" s="151"/>
      <c r="H15" s="152"/>
      <c r="I15" s="153"/>
    </row>
    <row r="16">
      <c r="B16" s="210">
        <v>4.0</v>
      </c>
      <c r="C16" s="203" t="s">
        <v>711</v>
      </c>
      <c r="D16" s="189"/>
      <c r="E16" s="54"/>
      <c r="F16" s="151" t="s">
        <v>141</v>
      </c>
      <c r="G16" s="151"/>
      <c r="H16" s="152"/>
      <c r="I16" s="153"/>
    </row>
    <row r="17">
      <c r="B17" s="210">
        <v>5.0</v>
      </c>
      <c r="C17" s="203" t="s">
        <v>712</v>
      </c>
      <c r="D17" s="189"/>
      <c r="E17" s="54"/>
      <c r="F17" s="151" t="s">
        <v>141</v>
      </c>
      <c r="G17" s="151"/>
      <c r="H17" s="152"/>
      <c r="I17" s="153"/>
    </row>
    <row r="18">
      <c r="B18" s="207">
        <v>6.0</v>
      </c>
      <c r="C18" s="194" t="s">
        <v>713</v>
      </c>
      <c r="D18" s="189"/>
      <c r="E18" s="54"/>
      <c r="F18" s="151" t="s">
        <v>141</v>
      </c>
      <c r="G18" s="151"/>
      <c r="H18" s="152"/>
      <c r="I18" s="153"/>
    </row>
    <row r="19">
      <c r="B19" s="210">
        <v>7.0</v>
      </c>
      <c r="C19" s="202" t="s">
        <v>714</v>
      </c>
      <c r="D19" s="189"/>
      <c r="E19" s="211"/>
      <c r="F19" s="151" t="s">
        <v>141</v>
      </c>
      <c r="G19" s="151"/>
      <c r="H19" s="152"/>
      <c r="I19" s="153"/>
    </row>
    <row r="20">
      <c r="B20" s="210">
        <v>8.0</v>
      </c>
      <c r="C20" s="194" t="s">
        <v>715</v>
      </c>
      <c r="D20" s="189"/>
      <c r="E20" s="54"/>
      <c r="F20" s="151" t="s">
        <v>141</v>
      </c>
      <c r="G20" s="151"/>
      <c r="H20" s="152"/>
      <c r="I20" s="153"/>
    </row>
    <row r="21" ht="15.75" customHeight="1">
      <c r="B21" s="210">
        <v>9.0</v>
      </c>
      <c r="C21" s="203" t="s">
        <v>716</v>
      </c>
      <c r="D21" s="189"/>
      <c r="E21" s="54"/>
      <c r="F21" s="151" t="s">
        <v>141</v>
      </c>
      <c r="G21" s="151"/>
      <c r="H21" s="152"/>
      <c r="I21" s="153"/>
    </row>
    <row r="22" ht="15.75" customHeight="1">
      <c r="B22" s="210">
        <v>10.0</v>
      </c>
      <c r="C22" s="203" t="s">
        <v>717</v>
      </c>
      <c r="D22" s="189"/>
      <c r="E22" s="54"/>
      <c r="F22" s="151" t="s">
        <v>141</v>
      </c>
      <c r="G22" s="151"/>
      <c r="H22" s="152"/>
      <c r="I22" s="153"/>
    </row>
    <row r="23" ht="15.75" customHeight="1">
      <c r="B23" s="207">
        <v>11.0</v>
      </c>
      <c r="C23" s="194" t="s">
        <v>718</v>
      </c>
      <c r="D23" s="189"/>
      <c r="E23" s="54"/>
      <c r="F23" s="151" t="s">
        <v>141</v>
      </c>
      <c r="G23" s="151"/>
      <c r="H23" s="152"/>
      <c r="I23" s="153"/>
    </row>
    <row r="24" ht="15.75" customHeight="1">
      <c r="B24" s="210">
        <v>12.0</v>
      </c>
      <c r="C24" s="202" t="s">
        <v>719</v>
      </c>
      <c r="D24" s="189"/>
      <c r="E24" s="211"/>
      <c r="F24" s="151" t="s">
        <v>141</v>
      </c>
      <c r="G24" s="151"/>
      <c r="H24" s="152"/>
      <c r="I24" s="153"/>
    </row>
    <row r="25" ht="15.75" customHeight="1">
      <c r="B25" s="210">
        <v>13.0</v>
      </c>
      <c r="C25" s="194" t="s">
        <v>720</v>
      </c>
      <c r="D25" s="189"/>
      <c r="E25" s="54"/>
      <c r="F25" s="151" t="s">
        <v>141</v>
      </c>
      <c r="G25" s="151"/>
      <c r="H25" s="152"/>
      <c r="I25" s="153"/>
    </row>
    <row r="26" ht="15.75" customHeight="1">
      <c r="B26" s="210">
        <v>14.0</v>
      </c>
      <c r="C26" s="203" t="s">
        <v>721</v>
      </c>
      <c r="D26" s="189"/>
      <c r="E26" s="54"/>
      <c r="F26" s="151" t="s">
        <v>141</v>
      </c>
      <c r="G26" s="151"/>
      <c r="H26" s="152"/>
      <c r="I26" s="153"/>
    </row>
    <row r="27" ht="15.75" customHeight="1">
      <c r="B27" s="210">
        <v>15.0</v>
      </c>
      <c r="C27" s="203" t="s">
        <v>722</v>
      </c>
      <c r="D27" s="189"/>
      <c r="E27" s="54"/>
      <c r="F27" s="151" t="s">
        <v>141</v>
      </c>
      <c r="G27" s="151"/>
      <c r="H27" s="152"/>
      <c r="I27" s="153"/>
    </row>
    <row r="28" ht="15.75" customHeight="1">
      <c r="B28" s="207">
        <v>16.0</v>
      </c>
      <c r="C28" s="194" t="s">
        <v>723</v>
      </c>
      <c r="D28" s="189"/>
      <c r="E28" s="54"/>
      <c r="F28" s="151" t="s">
        <v>141</v>
      </c>
      <c r="G28" s="151"/>
      <c r="H28" s="152"/>
      <c r="I28" s="153"/>
    </row>
    <row r="29" ht="15.75" customHeight="1">
      <c r="B29" s="210">
        <v>17.0</v>
      </c>
      <c r="C29" s="202" t="s">
        <v>724</v>
      </c>
      <c r="D29" s="189"/>
      <c r="E29" s="211"/>
      <c r="F29" s="151" t="s">
        <v>141</v>
      </c>
      <c r="G29" s="151"/>
      <c r="H29" s="152"/>
      <c r="I29" s="153"/>
    </row>
    <row r="30" ht="15.75" customHeight="1">
      <c r="B30" s="210">
        <v>18.0</v>
      </c>
      <c r="C30" s="194" t="s">
        <v>725</v>
      </c>
      <c r="D30" s="189"/>
      <c r="E30" s="54"/>
      <c r="F30" s="151" t="s">
        <v>141</v>
      </c>
      <c r="G30" s="151"/>
      <c r="H30" s="152"/>
      <c r="I30" s="153"/>
    </row>
    <row r="31" ht="15.75" customHeight="1">
      <c r="B31" s="210">
        <v>19.0</v>
      </c>
      <c r="C31" s="203" t="s">
        <v>726</v>
      </c>
      <c r="D31" s="189"/>
      <c r="E31" s="54"/>
      <c r="F31" s="151" t="s">
        <v>141</v>
      </c>
      <c r="G31" s="151"/>
      <c r="H31" s="152"/>
      <c r="I31" s="153"/>
    </row>
    <row r="32" ht="15.75" customHeight="1">
      <c r="B32" s="210">
        <v>20.0</v>
      </c>
      <c r="C32" s="203" t="s">
        <v>727</v>
      </c>
      <c r="D32" s="189"/>
      <c r="E32" s="54"/>
      <c r="F32" s="151" t="s">
        <v>141</v>
      </c>
      <c r="G32" s="151"/>
      <c r="H32" s="152"/>
      <c r="I32" s="153"/>
    </row>
    <row r="33" ht="15.75" customHeight="1">
      <c r="B33" s="207">
        <v>21.0</v>
      </c>
      <c r="C33" s="194" t="s">
        <v>728</v>
      </c>
      <c r="D33" s="189"/>
      <c r="E33" s="54"/>
      <c r="F33" s="151" t="s">
        <v>141</v>
      </c>
      <c r="G33" s="151"/>
      <c r="H33" s="152"/>
      <c r="I33" s="153"/>
    </row>
    <row r="34" ht="15.75" customHeight="1">
      <c r="B34" s="210">
        <v>22.0</v>
      </c>
      <c r="C34" s="202" t="s">
        <v>729</v>
      </c>
      <c r="D34" s="189"/>
      <c r="E34" s="211"/>
      <c r="F34" s="151" t="s">
        <v>141</v>
      </c>
      <c r="G34" s="151"/>
      <c r="H34" s="152"/>
      <c r="I34" s="153"/>
    </row>
    <row r="35" ht="15.75" customHeight="1">
      <c r="B35" s="210">
        <v>23.0</v>
      </c>
      <c r="C35" s="194" t="s">
        <v>730</v>
      </c>
      <c r="D35" s="189"/>
      <c r="E35" s="54"/>
      <c r="F35" s="151" t="s">
        <v>141</v>
      </c>
      <c r="G35" s="151"/>
      <c r="H35" s="152"/>
      <c r="I35" s="153"/>
    </row>
    <row r="36" ht="15.75" customHeight="1">
      <c r="B36" s="210">
        <v>24.0</v>
      </c>
      <c r="C36" s="203" t="s">
        <v>731</v>
      </c>
      <c r="D36" s="189"/>
      <c r="E36" s="54"/>
      <c r="F36" s="151" t="s">
        <v>141</v>
      </c>
      <c r="G36" s="151"/>
      <c r="H36" s="152"/>
      <c r="I36" s="153"/>
    </row>
    <row r="37" ht="15.75" customHeight="1">
      <c r="B37" s="210">
        <v>25.0</v>
      </c>
      <c r="C37" s="203" t="s">
        <v>732</v>
      </c>
      <c r="D37" s="189"/>
      <c r="E37" s="54"/>
      <c r="F37" s="151" t="s">
        <v>141</v>
      </c>
      <c r="G37" s="151"/>
      <c r="H37" s="152"/>
      <c r="I37" s="153"/>
    </row>
    <row r="38" ht="15.75" customHeight="1">
      <c r="B38" s="207">
        <v>26.0</v>
      </c>
      <c r="C38" s="194" t="s">
        <v>733</v>
      </c>
      <c r="D38" s="189"/>
      <c r="E38" s="54"/>
      <c r="F38" s="151" t="s">
        <v>141</v>
      </c>
      <c r="G38" s="151"/>
      <c r="H38" s="152"/>
      <c r="I38" s="153"/>
    </row>
    <row r="39" ht="15.75" customHeight="1">
      <c r="B39" s="210">
        <v>27.0</v>
      </c>
      <c r="C39" s="202" t="s">
        <v>734</v>
      </c>
      <c r="D39" s="189"/>
      <c r="E39" s="211"/>
      <c r="F39" s="151" t="s">
        <v>141</v>
      </c>
      <c r="G39" s="151"/>
      <c r="H39" s="152"/>
      <c r="I39" s="153"/>
    </row>
    <row r="40" ht="15.75" customHeight="1">
      <c r="B40" s="210">
        <v>28.0</v>
      </c>
      <c r="C40" s="194" t="s">
        <v>735</v>
      </c>
      <c r="D40" s="189"/>
      <c r="E40" s="54"/>
      <c r="F40" s="151" t="s">
        <v>141</v>
      </c>
      <c r="G40" s="151"/>
      <c r="H40" s="152"/>
      <c r="I40" s="153"/>
    </row>
    <row r="41" ht="15.75" customHeight="1">
      <c r="B41" s="210">
        <v>29.0</v>
      </c>
      <c r="C41" s="203" t="s">
        <v>736</v>
      </c>
      <c r="D41" s="189"/>
      <c r="E41" s="54"/>
      <c r="F41" s="151" t="s">
        <v>141</v>
      </c>
      <c r="G41" s="151"/>
      <c r="H41" s="152"/>
      <c r="I41" s="153"/>
    </row>
    <row r="42" ht="15.75" customHeight="1">
      <c r="B42" s="210">
        <v>30.0</v>
      </c>
      <c r="C42" s="203" t="s">
        <v>737</v>
      </c>
      <c r="D42" s="189"/>
      <c r="E42" s="54"/>
      <c r="F42" s="151" t="s">
        <v>141</v>
      </c>
      <c r="G42" s="151"/>
      <c r="H42" s="152"/>
      <c r="I42" s="153"/>
    </row>
    <row r="43" ht="15.75" customHeight="1">
      <c r="B43" s="207">
        <v>31.0</v>
      </c>
      <c r="C43" s="194" t="s">
        <v>738</v>
      </c>
      <c r="D43" s="189"/>
      <c r="E43" s="54"/>
      <c r="F43" s="151" t="s">
        <v>141</v>
      </c>
      <c r="G43" s="151"/>
      <c r="H43" s="152"/>
      <c r="I43" s="153"/>
    </row>
    <row r="44" ht="15.75" customHeight="1">
      <c r="B44" s="210">
        <v>32.0</v>
      </c>
      <c r="C44" s="202" t="s">
        <v>739</v>
      </c>
      <c r="D44" s="189"/>
      <c r="E44" s="211"/>
      <c r="F44" s="151" t="s">
        <v>141</v>
      </c>
      <c r="G44" s="151"/>
      <c r="H44" s="152"/>
      <c r="I44" s="153"/>
    </row>
    <row r="45" ht="15.75" customHeight="1">
      <c r="B45" s="210">
        <v>33.0</v>
      </c>
      <c r="C45" s="194" t="s">
        <v>740</v>
      </c>
      <c r="D45" s="189"/>
      <c r="E45" s="54"/>
      <c r="F45" s="151" t="s">
        <v>141</v>
      </c>
      <c r="G45" s="151"/>
      <c r="H45" s="152"/>
      <c r="I45" s="153"/>
    </row>
    <row r="46" ht="15.75" customHeight="1">
      <c r="B46" s="210">
        <v>34.0</v>
      </c>
      <c r="C46" s="203" t="s">
        <v>741</v>
      </c>
      <c r="D46" s="189"/>
      <c r="E46" s="54"/>
      <c r="F46" s="151" t="s">
        <v>141</v>
      </c>
      <c r="G46" s="151"/>
      <c r="H46" s="152"/>
      <c r="I46" s="153"/>
    </row>
    <row r="47" ht="15.75" customHeight="1">
      <c r="B47" s="210">
        <v>35.0</v>
      </c>
      <c r="C47" s="203" t="s">
        <v>742</v>
      </c>
      <c r="D47" s="189"/>
      <c r="E47" s="54"/>
      <c r="F47" s="151" t="s">
        <v>141</v>
      </c>
      <c r="G47" s="151"/>
      <c r="H47" s="152"/>
      <c r="I47" s="153"/>
    </row>
    <row r="48" ht="15.75" customHeight="1">
      <c r="B48" s="210">
        <v>36.0</v>
      </c>
      <c r="C48" s="203" t="s">
        <v>743</v>
      </c>
      <c r="D48" s="189"/>
      <c r="E48" s="54"/>
      <c r="F48" s="151" t="s">
        <v>141</v>
      </c>
      <c r="G48" s="151"/>
      <c r="H48" s="152"/>
      <c r="I48" s="153"/>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7">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44:D44"/>
    <mergeCell ref="C45:D45"/>
    <mergeCell ref="C46:D46"/>
    <mergeCell ref="C47:D47"/>
    <mergeCell ref="C48:D48"/>
    <mergeCell ref="C37:D37"/>
    <mergeCell ref="C38:D38"/>
    <mergeCell ref="C39:D39"/>
    <mergeCell ref="C40:D40"/>
    <mergeCell ref="C41:D41"/>
    <mergeCell ref="C42:D42"/>
    <mergeCell ref="C43:D43"/>
  </mergeCells>
  <printOptions/>
  <pageMargins bottom="0.75" footer="0.0" header="0.0" left="0.7" right="0.7" top="0.75"/>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EEAF6"/>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COUNT(B12:D63)</f>
        <v>11</v>
      </c>
    </row>
    <row r="4">
      <c r="B4" s="33" t="s">
        <v>127</v>
      </c>
      <c r="C4" s="34" t="s">
        <v>128</v>
      </c>
      <c r="K4" s="31" t="s">
        <v>129</v>
      </c>
      <c r="L4" s="32">
        <f>COUNTIF(F12:F63,"X")</f>
        <v>11</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206" t="s">
        <v>744</v>
      </c>
      <c r="C11" s="27"/>
      <c r="D11" s="27"/>
      <c r="E11" s="43"/>
      <c r="F11" s="44" t="s">
        <v>127</v>
      </c>
      <c r="G11" s="45" t="s">
        <v>130</v>
      </c>
      <c r="H11" s="45" t="s">
        <v>132</v>
      </c>
      <c r="I11" s="46"/>
      <c r="J11" s="67"/>
    </row>
    <row r="12" ht="11.25" customHeight="1">
      <c r="C12" s="177"/>
      <c r="F12" s="147"/>
      <c r="G12" s="147"/>
      <c r="H12" s="147"/>
      <c r="I12" s="147"/>
    </row>
    <row r="13">
      <c r="B13" s="207">
        <v>1.0</v>
      </c>
      <c r="C13" s="202" t="s">
        <v>745</v>
      </c>
      <c r="D13" s="189"/>
      <c r="E13" s="54"/>
      <c r="F13" s="151" t="s">
        <v>141</v>
      </c>
      <c r="G13" s="151"/>
      <c r="H13" s="152"/>
      <c r="I13" s="209" t="s">
        <v>702</v>
      </c>
    </row>
    <row r="14">
      <c r="B14" s="210">
        <v>2.0</v>
      </c>
      <c r="C14" s="202" t="s">
        <v>746</v>
      </c>
      <c r="D14" s="189"/>
      <c r="E14" s="211"/>
      <c r="F14" s="151" t="s">
        <v>141</v>
      </c>
      <c r="G14" s="151"/>
      <c r="H14" s="152"/>
      <c r="I14" s="209" t="s">
        <v>702</v>
      </c>
    </row>
    <row r="15">
      <c r="B15" s="210">
        <v>3.0</v>
      </c>
      <c r="C15" s="194" t="s">
        <v>747</v>
      </c>
      <c r="D15" s="189"/>
      <c r="E15" s="54"/>
      <c r="F15" s="151" t="s">
        <v>141</v>
      </c>
      <c r="G15" s="151"/>
      <c r="H15" s="152"/>
      <c r="I15" s="209" t="s">
        <v>702</v>
      </c>
    </row>
    <row r="16">
      <c r="B16" s="210">
        <v>4.0</v>
      </c>
      <c r="C16" s="203" t="s">
        <v>748</v>
      </c>
      <c r="D16" s="189"/>
      <c r="E16" s="54"/>
      <c r="F16" s="151" t="s">
        <v>141</v>
      </c>
      <c r="G16" s="151"/>
      <c r="H16" s="152"/>
      <c r="I16" s="209" t="s">
        <v>702</v>
      </c>
    </row>
    <row r="17">
      <c r="B17" s="210">
        <v>5.0</v>
      </c>
      <c r="C17" s="194" t="s">
        <v>749</v>
      </c>
      <c r="D17" s="189"/>
      <c r="F17" s="151" t="s">
        <v>141</v>
      </c>
      <c r="G17" s="151"/>
      <c r="H17" s="152"/>
      <c r="I17" s="209" t="s">
        <v>702</v>
      </c>
    </row>
    <row r="18" ht="18.75" customHeight="1">
      <c r="B18" s="210">
        <v>6.0</v>
      </c>
      <c r="C18" s="194" t="s">
        <v>750</v>
      </c>
      <c r="D18" s="189"/>
      <c r="F18" s="151" t="s">
        <v>141</v>
      </c>
      <c r="G18" s="151"/>
      <c r="H18" s="152"/>
      <c r="I18" s="209" t="s">
        <v>702</v>
      </c>
    </row>
    <row r="19" ht="18.75" customHeight="1">
      <c r="B19" s="210">
        <v>7.0</v>
      </c>
      <c r="C19" s="194" t="s">
        <v>751</v>
      </c>
      <c r="D19" s="189"/>
      <c r="F19" s="151" t="s">
        <v>141</v>
      </c>
      <c r="G19" s="151"/>
      <c r="H19" s="152"/>
      <c r="I19" s="209" t="s">
        <v>702</v>
      </c>
    </row>
    <row r="20" ht="18.75" customHeight="1">
      <c r="B20" s="210">
        <v>8.0</v>
      </c>
      <c r="C20" s="194" t="s">
        <v>752</v>
      </c>
      <c r="D20" s="189"/>
      <c r="F20" s="151" t="s">
        <v>141</v>
      </c>
      <c r="G20" s="151"/>
      <c r="H20" s="152"/>
      <c r="I20" s="209" t="s">
        <v>702</v>
      </c>
    </row>
    <row r="21" ht="18.75" customHeight="1">
      <c r="B21" s="210">
        <v>9.0</v>
      </c>
      <c r="C21" s="194" t="s">
        <v>753</v>
      </c>
      <c r="D21" s="189"/>
      <c r="F21" s="151" t="s">
        <v>141</v>
      </c>
      <c r="G21" s="151"/>
      <c r="H21" s="152"/>
      <c r="I21" s="209" t="s">
        <v>702</v>
      </c>
    </row>
    <row r="22" ht="18.75" customHeight="1">
      <c r="B22" s="210">
        <v>10.0</v>
      </c>
      <c r="C22" s="194" t="s">
        <v>754</v>
      </c>
      <c r="D22" s="189"/>
      <c r="F22" s="151" t="s">
        <v>141</v>
      </c>
      <c r="G22" s="151"/>
      <c r="H22" s="152"/>
      <c r="I22" s="209" t="s">
        <v>702</v>
      </c>
    </row>
    <row r="23" ht="18.75" customHeight="1">
      <c r="B23" s="210">
        <v>11.0</v>
      </c>
      <c r="C23" s="194" t="s">
        <v>755</v>
      </c>
      <c r="D23" s="189"/>
      <c r="F23" s="151" t="s">
        <v>141</v>
      </c>
      <c r="G23" s="151"/>
      <c r="H23" s="152"/>
      <c r="I23" s="209" t="s">
        <v>756</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B2:I2"/>
    <mergeCell ref="K2:L2"/>
    <mergeCell ref="C4:D4"/>
    <mergeCell ref="C5:D5"/>
    <mergeCell ref="C6:D6"/>
    <mergeCell ref="B7:C7"/>
    <mergeCell ref="B9:D9"/>
    <mergeCell ref="C16:D16"/>
    <mergeCell ref="C17:D17"/>
    <mergeCell ref="C18:D18"/>
    <mergeCell ref="C19:D19"/>
    <mergeCell ref="C20:D20"/>
    <mergeCell ref="C21:D21"/>
    <mergeCell ref="C22:D22"/>
    <mergeCell ref="C23:D23"/>
    <mergeCell ref="F10:H10"/>
    <mergeCell ref="I10:I11"/>
    <mergeCell ref="B11:D11"/>
    <mergeCell ref="C12:D12"/>
    <mergeCell ref="C13:D13"/>
    <mergeCell ref="C14:D14"/>
    <mergeCell ref="C15:D15"/>
  </mergeCells>
  <printOptions/>
  <pageMargins bottom="0.75" footer="0.0" header="0.0" left="0.7" right="0.7" top="0.75"/>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EEAF6"/>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COUNT(B12:D69)</f>
        <v>9</v>
      </c>
    </row>
    <row r="4">
      <c r="B4" s="33" t="s">
        <v>127</v>
      </c>
      <c r="C4" s="34" t="s">
        <v>128</v>
      </c>
      <c r="K4" s="31" t="s">
        <v>129</v>
      </c>
      <c r="L4" s="32">
        <f>COUNTIF(F12:F69,"X")</f>
        <v>9</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206" t="s">
        <v>757</v>
      </c>
      <c r="C11" s="27"/>
      <c r="D11" s="27"/>
      <c r="E11" s="43"/>
      <c r="F11" s="44" t="s">
        <v>127</v>
      </c>
      <c r="G11" s="45" t="s">
        <v>130</v>
      </c>
      <c r="H11" s="45" t="s">
        <v>132</v>
      </c>
      <c r="I11" s="46"/>
      <c r="J11" s="67"/>
    </row>
    <row r="12" ht="11.25" customHeight="1">
      <c r="C12" s="177"/>
      <c r="F12" s="147"/>
      <c r="G12" s="147"/>
      <c r="H12" s="147"/>
      <c r="I12" s="147"/>
    </row>
    <row r="13">
      <c r="B13" s="207">
        <v>1.0</v>
      </c>
      <c r="C13" s="194" t="s">
        <v>758</v>
      </c>
      <c r="D13" s="189"/>
      <c r="E13" s="54"/>
      <c r="F13" s="151" t="s">
        <v>141</v>
      </c>
      <c r="G13" s="151"/>
      <c r="H13" s="152"/>
      <c r="I13" s="153"/>
    </row>
    <row r="14">
      <c r="B14" s="210">
        <v>2.0</v>
      </c>
      <c r="C14" s="202" t="s">
        <v>759</v>
      </c>
      <c r="D14" s="189"/>
      <c r="E14" s="211"/>
      <c r="F14" s="151" t="s">
        <v>141</v>
      </c>
      <c r="G14" s="151"/>
      <c r="H14" s="152"/>
      <c r="I14" s="153"/>
    </row>
    <row r="15">
      <c r="B15" s="210">
        <v>3.0</v>
      </c>
      <c r="C15" s="194" t="s">
        <v>760</v>
      </c>
      <c r="D15" s="189"/>
      <c r="E15" s="54"/>
      <c r="F15" s="151" t="s">
        <v>141</v>
      </c>
      <c r="G15" s="151"/>
      <c r="H15" s="152"/>
      <c r="I15" s="153"/>
    </row>
    <row r="16">
      <c r="B16" s="210">
        <v>4.0</v>
      </c>
      <c r="C16" s="203" t="s">
        <v>761</v>
      </c>
      <c r="D16" s="189"/>
      <c r="E16" s="54"/>
      <c r="F16" s="151" t="s">
        <v>141</v>
      </c>
      <c r="G16" s="151"/>
      <c r="H16" s="152"/>
      <c r="I16" s="153"/>
    </row>
    <row r="17">
      <c r="B17" s="210">
        <v>5.0</v>
      </c>
      <c r="C17" s="203" t="s">
        <v>762</v>
      </c>
      <c r="D17" s="189"/>
      <c r="E17" s="54"/>
      <c r="F17" s="151" t="s">
        <v>141</v>
      </c>
      <c r="G17" s="151"/>
      <c r="H17" s="152"/>
      <c r="I17" s="153"/>
    </row>
    <row r="18" ht="18.75" customHeight="1">
      <c r="B18" s="210">
        <v>6.0</v>
      </c>
      <c r="C18" s="203" t="s">
        <v>763</v>
      </c>
      <c r="D18" s="189"/>
      <c r="E18" s="54"/>
      <c r="F18" s="151" t="s">
        <v>141</v>
      </c>
      <c r="G18" s="151"/>
      <c r="H18" s="152"/>
      <c r="I18" s="153"/>
    </row>
    <row r="19" ht="18.75" customHeight="1">
      <c r="B19" s="210">
        <v>7.0</v>
      </c>
      <c r="C19" s="203" t="s">
        <v>764</v>
      </c>
      <c r="D19" s="189"/>
      <c r="E19" s="54"/>
      <c r="F19" s="151" t="s">
        <v>141</v>
      </c>
      <c r="G19" s="151"/>
      <c r="H19" s="152"/>
      <c r="I19" s="153"/>
    </row>
    <row r="20" ht="18.75" customHeight="1">
      <c r="B20" s="210">
        <v>8.0</v>
      </c>
      <c r="C20" s="203" t="s">
        <v>765</v>
      </c>
      <c r="D20" s="189"/>
      <c r="E20" s="54"/>
      <c r="F20" s="151" t="s">
        <v>141</v>
      </c>
      <c r="G20" s="151"/>
      <c r="H20" s="152"/>
      <c r="I20" s="153"/>
    </row>
    <row r="21" ht="18.75" customHeight="1">
      <c r="B21" s="210">
        <v>9.0</v>
      </c>
      <c r="C21" s="203" t="s">
        <v>766</v>
      </c>
      <c r="D21" s="189"/>
      <c r="E21" s="54"/>
      <c r="F21" s="151" t="s">
        <v>141</v>
      </c>
      <c r="G21" s="151"/>
      <c r="H21" s="152"/>
      <c r="I21" s="153"/>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2:I2"/>
    <mergeCell ref="K2:L2"/>
    <mergeCell ref="C4:D4"/>
    <mergeCell ref="C5:D5"/>
    <mergeCell ref="C6:D6"/>
    <mergeCell ref="B7:C7"/>
    <mergeCell ref="B9:D9"/>
    <mergeCell ref="C16:D16"/>
    <mergeCell ref="C17:D17"/>
    <mergeCell ref="C18:D18"/>
    <mergeCell ref="C19:D19"/>
    <mergeCell ref="C20:D20"/>
    <mergeCell ref="C21:D21"/>
    <mergeCell ref="F10:H10"/>
    <mergeCell ref="I10:I11"/>
    <mergeCell ref="B11:D11"/>
    <mergeCell ref="C12:D12"/>
    <mergeCell ref="C13:D13"/>
    <mergeCell ref="C14:D14"/>
    <mergeCell ref="C15:D15"/>
  </mergeCells>
  <printOptions/>
  <pageMargins bottom="0.75" footer="0.0" header="0.0" left="0.7" right="0.7" top="0.75"/>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FD9"/>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COUNT(B12:D63)</f>
        <v>5</v>
      </c>
    </row>
    <row r="4">
      <c r="B4" s="33" t="s">
        <v>127</v>
      </c>
      <c r="C4" s="34" t="s">
        <v>128</v>
      </c>
      <c r="K4" s="31" t="s">
        <v>129</v>
      </c>
      <c r="L4" s="32">
        <f>COUNTIF(F12:F63,"X")</f>
        <v>5</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206" t="s">
        <v>767</v>
      </c>
      <c r="C11" s="27"/>
      <c r="D11" s="27"/>
      <c r="E11" s="43"/>
      <c r="F11" s="44" t="s">
        <v>127</v>
      </c>
      <c r="G11" s="45" t="s">
        <v>130</v>
      </c>
      <c r="H11" s="45" t="s">
        <v>132</v>
      </c>
      <c r="I11" s="46"/>
      <c r="J11" s="67"/>
    </row>
    <row r="12" ht="11.25" customHeight="1">
      <c r="C12" s="177"/>
      <c r="F12" s="147"/>
      <c r="G12" s="147"/>
      <c r="H12" s="147"/>
      <c r="I12" s="147"/>
    </row>
    <row r="13">
      <c r="B13" s="207">
        <v>1.0</v>
      </c>
      <c r="C13" s="202" t="s">
        <v>768</v>
      </c>
      <c r="D13" s="189"/>
      <c r="E13" s="54"/>
      <c r="F13" s="151" t="s">
        <v>141</v>
      </c>
      <c r="G13" s="151"/>
      <c r="H13" s="152"/>
      <c r="I13" s="209" t="s">
        <v>702</v>
      </c>
    </row>
    <row r="14">
      <c r="B14" s="210">
        <v>2.0</v>
      </c>
      <c r="C14" s="202" t="s">
        <v>769</v>
      </c>
      <c r="D14" s="189"/>
      <c r="E14" s="211"/>
      <c r="F14" s="151" t="s">
        <v>141</v>
      </c>
      <c r="G14" s="151"/>
      <c r="H14" s="152"/>
      <c r="I14" s="209" t="s">
        <v>702</v>
      </c>
    </row>
    <row r="15">
      <c r="B15" s="210">
        <v>3.0</v>
      </c>
      <c r="C15" s="194" t="s">
        <v>770</v>
      </c>
      <c r="D15" s="189"/>
      <c r="E15" s="54"/>
      <c r="F15" s="151" t="s">
        <v>141</v>
      </c>
      <c r="G15" s="151"/>
      <c r="H15" s="152"/>
      <c r="I15" s="209" t="s">
        <v>702</v>
      </c>
    </row>
    <row r="16">
      <c r="B16" s="210">
        <v>4.0</v>
      </c>
      <c r="C16" s="203" t="s">
        <v>771</v>
      </c>
      <c r="D16" s="189"/>
      <c r="E16" s="54"/>
      <c r="F16" s="151" t="s">
        <v>141</v>
      </c>
      <c r="G16" s="151"/>
      <c r="H16" s="152"/>
      <c r="I16" s="209" t="s">
        <v>702</v>
      </c>
    </row>
    <row r="17">
      <c r="B17" s="210">
        <v>5.0</v>
      </c>
      <c r="C17" s="194" t="s">
        <v>772</v>
      </c>
      <c r="D17" s="189"/>
      <c r="F17" s="151" t="s">
        <v>141</v>
      </c>
      <c r="G17" s="151"/>
      <c r="H17" s="152"/>
      <c r="I17" s="209" t="s">
        <v>702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2:I2"/>
    <mergeCell ref="K2:L2"/>
    <mergeCell ref="C4:D4"/>
    <mergeCell ref="C5:D5"/>
    <mergeCell ref="C6:D6"/>
    <mergeCell ref="B7:C7"/>
    <mergeCell ref="B9:D9"/>
    <mergeCell ref="C16:D16"/>
    <mergeCell ref="C17:D17"/>
    <mergeCell ref="F10:H10"/>
    <mergeCell ref="I10:I11"/>
    <mergeCell ref="B11:D11"/>
    <mergeCell ref="C12:D12"/>
    <mergeCell ref="C13:D13"/>
    <mergeCell ref="C14:D14"/>
    <mergeCell ref="C15:D15"/>
  </mergeCells>
  <printOptions/>
  <pageMargins bottom="0.75" footer="0.0" header="0.0" left="0.7" right="0.7" top="0.75"/>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FD9"/>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COUNT(B12:D69)</f>
        <v>15</v>
      </c>
    </row>
    <row r="4">
      <c r="B4" s="33" t="s">
        <v>127</v>
      </c>
      <c r="C4" s="34" t="s">
        <v>128</v>
      </c>
      <c r="K4" s="31" t="s">
        <v>129</v>
      </c>
      <c r="L4" s="32">
        <f>COUNTIF(F12:F69,"X")</f>
        <v>15</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206" t="s">
        <v>773</v>
      </c>
      <c r="C11" s="27"/>
      <c r="D11" s="27"/>
      <c r="E11" s="43"/>
      <c r="F11" s="44" t="s">
        <v>127</v>
      </c>
      <c r="G11" s="45" t="s">
        <v>130</v>
      </c>
      <c r="H11" s="45" t="s">
        <v>132</v>
      </c>
      <c r="I11" s="46"/>
      <c r="J11" s="67"/>
    </row>
    <row r="12" ht="11.25" customHeight="1">
      <c r="C12" s="177"/>
      <c r="F12" s="147"/>
      <c r="G12" s="147"/>
      <c r="H12" s="147"/>
      <c r="I12" s="147"/>
    </row>
    <row r="13">
      <c r="B13" s="207">
        <v>1.0</v>
      </c>
      <c r="C13" s="194" t="s">
        <v>774</v>
      </c>
      <c r="D13" s="189"/>
      <c r="E13" s="54"/>
      <c r="F13" s="151" t="s">
        <v>141</v>
      </c>
      <c r="G13" s="151"/>
      <c r="H13" s="152"/>
      <c r="I13" s="153"/>
    </row>
    <row r="14">
      <c r="B14" s="210">
        <v>2.0</v>
      </c>
      <c r="C14" s="202" t="s">
        <v>775</v>
      </c>
      <c r="D14" s="189"/>
      <c r="E14" s="211"/>
      <c r="F14" s="151" t="s">
        <v>141</v>
      </c>
      <c r="G14" s="151"/>
      <c r="H14" s="152"/>
      <c r="I14" s="153"/>
    </row>
    <row r="15">
      <c r="B15" s="210">
        <v>3.0</v>
      </c>
      <c r="C15" s="194" t="s">
        <v>776</v>
      </c>
      <c r="D15" s="189"/>
      <c r="E15" s="54"/>
      <c r="F15" s="151" t="s">
        <v>141</v>
      </c>
      <c r="G15" s="151"/>
      <c r="H15" s="152"/>
      <c r="I15" s="153"/>
    </row>
    <row r="16">
      <c r="B16" s="210">
        <v>4.0</v>
      </c>
      <c r="C16" s="203" t="s">
        <v>777</v>
      </c>
      <c r="D16" s="189"/>
      <c r="E16" s="54"/>
      <c r="F16" s="151" t="s">
        <v>141</v>
      </c>
      <c r="G16" s="151"/>
      <c r="H16" s="152"/>
      <c r="I16" s="153"/>
    </row>
    <row r="17">
      <c r="B17" s="210">
        <v>5.0</v>
      </c>
      <c r="C17" s="203" t="s">
        <v>778</v>
      </c>
      <c r="D17" s="189"/>
      <c r="E17" s="54"/>
      <c r="F17" s="151" t="s">
        <v>141</v>
      </c>
      <c r="G17" s="151"/>
      <c r="H17" s="152"/>
      <c r="I17" s="153"/>
    </row>
    <row r="18" ht="18.75" customHeight="1">
      <c r="B18" s="210">
        <v>6.0</v>
      </c>
      <c r="C18" s="203" t="s">
        <v>779</v>
      </c>
      <c r="D18" s="189"/>
      <c r="E18" s="54"/>
      <c r="F18" s="151" t="s">
        <v>141</v>
      </c>
      <c r="G18" s="151"/>
      <c r="H18" s="152"/>
      <c r="I18" s="153"/>
    </row>
    <row r="19" ht="18.75" customHeight="1">
      <c r="B19" s="210">
        <v>7.0</v>
      </c>
      <c r="C19" s="203" t="s">
        <v>780</v>
      </c>
      <c r="D19" s="189"/>
      <c r="E19" s="54"/>
      <c r="F19" s="151" t="s">
        <v>141</v>
      </c>
      <c r="G19" s="151"/>
      <c r="H19" s="152"/>
      <c r="I19" s="153"/>
    </row>
    <row r="20" ht="18.75" customHeight="1">
      <c r="B20" s="210">
        <v>8.0</v>
      </c>
      <c r="C20" s="203" t="s">
        <v>781</v>
      </c>
      <c r="D20" s="189"/>
      <c r="E20" s="54"/>
      <c r="F20" s="151" t="s">
        <v>141</v>
      </c>
      <c r="G20" s="151"/>
      <c r="H20" s="152"/>
      <c r="I20" s="153"/>
    </row>
    <row r="21" ht="18.75" customHeight="1">
      <c r="B21" s="210">
        <v>9.0</v>
      </c>
      <c r="C21" s="203" t="s">
        <v>782</v>
      </c>
      <c r="D21" s="189"/>
      <c r="E21" s="54"/>
      <c r="F21" s="151" t="s">
        <v>141</v>
      </c>
      <c r="G21" s="151"/>
      <c r="H21" s="152"/>
      <c r="I21" s="153"/>
    </row>
    <row r="22" ht="18.75" customHeight="1">
      <c r="B22" s="210">
        <v>10.0</v>
      </c>
      <c r="C22" s="203" t="s">
        <v>783</v>
      </c>
      <c r="D22" s="189"/>
      <c r="E22" s="54"/>
      <c r="F22" s="151" t="s">
        <v>141</v>
      </c>
      <c r="G22" s="151"/>
      <c r="H22" s="152"/>
      <c r="I22" s="153"/>
    </row>
    <row r="23" ht="18.75" customHeight="1">
      <c r="B23" s="210">
        <v>11.0</v>
      </c>
      <c r="C23" s="203" t="s">
        <v>784</v>
      </c>
      <c r="D23" s="189"/>
      <c r="E23" s="54"/>
      <c r="F23" s="151" t="s">
        <v>141</v>
      </c>
      <c r="G23" s="151"/>
      <c r="H23" s="152"/>
      <c r="I23" s="153"/>
    </row>
    <row r="24" ht="18.75" customHeight="1">
      <c r="B24" s="210">
        <v>12.0</v>
      </c>
      <c r="C24" s="203" t="s">
        <v>785</v>
      </c>
      <c r="D24" s="189"/>
      <c r="E24" s="54"/>
      <c r="F24" s="151" t="s">
        <v>141</v>
      </c>
      <c r="G24" s="151"/>
      <c r="H24" s="152"/>
      <c r="I24" s="153"/>
    </row>
    <row r="25" ht="18.75" customHeight="1">
      <c r="B25" s="210">
        <v>13.0</v>
      </c>
      <c r="C25" s="203" t="s">
        <v>786</v>
      </c>
      <c r="D25" s="189"/>
      <c r="E25" s="54"/>
      <c r="F25" s="151" t="s">
        <v>141</v>
      </c>
      <c r="G25" s="151"/>
      <c r="H25" s="152"/>
      <c r="I25" s="153"/>
    </row>
    <row r="26" ht="18.75" customHeight="1">
      <c r="B26" s="210">
        <v>14.0</v>
      </c>
      <c r="C26" s="203" t="s">
        <v>787</v>
      </c>
      <c r="D26" s="189"/>
      <c r="E26" s="54"/>
      <c r="F26" s="151" t="s">
        <v>141</v>
      </c>
      <c r="G26" s="151"/>
      <c r="H26" s="152"/>
      <c r="I26" s="153"/>
    </row>
    <row r="27" ht="18.75" customHeight="1">
      <c r="B27" s="210">
        <v>15.0</v>
      </c>
      <c r="C27" s="203" t="s">
        <v>788</v>
      </c>
      <c r="D27" s="189"/>
      <c r="E27" s="54"/>
      <c r="F27" s="151" t="s">
        <v>141</v>
      </c>
      <c r="G27" s="151"/>
      <c r="H27" s="152"/>
      <c r="I27" s="153"/>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23:D23"/>
    <mergeCell ref="C24:D24"/>
    <mergeCell ref="C25:D25"/>
    <mergeCell ref="C26:D26"/>
    <mergeCell ref="C27:D27"/>
    <mergeCell ref="C16:D16"/>
    <mergeCell ref="C17:D17"/>
    <mergeCell ref="C18:D18"/>
    <mergeCell ref="C19:D19"/>
    <mergeCell ref="C20:D20"/>
    <mergeCell ref="C21:D21"/>
    <mergeCell ref="C22:D22"/>
  </mergeCells>
  <printOptions/>
  <pageMargins bottom="0.75" footer="0.0" header="0.0" left="0.7" right="0.7" top="0.75"/>
  <pageSetup paperSize="9"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135"/>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COUNT(B12:D96)</f>
        <v>8</v>
      </c>
    </row>
    <row r="4">
      <c r="B4" s="33" t="s">
        <v>127</v>
      </c>
      <c r="C4" s="34" t="s">
        <v>128</v>
      </c>
      <c r="K4" s="31" t="s">
        <v>129</v>
      </c>
      <c r="L4" s="32">
        <f>COUNTIF(F12:F96,"X")</f>
        <v>8</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206" t="s">
        <v>789</v>
      </c>
      <c r="C11" s="27"/>
      <c r="D11" s="27"/>
      <c r="E11" s="43"/>
      <c r="F11" s="44" t="s">
        <v>127</v>
      </c>
      <c r="G11" s="45" t="s">
        <v>130</v>
      </c>
      <c r="H11" s="45" t="s">
        <v>132</v>
      </c>
      <c r="I11" s="46"/>
      <c r="J11" s="67"/>
    </row>
    <row r="12" ht="11.25" customHeight="1">
      <c r="C12" s="177"/>
      <c r="F12" s="147"/>
      <c r="G12" s="147"/>
      <c r="H12" s="147"/>
      <c r="I12" s="147"/>
    </row>
    <row r="13">
      <c r="B13" s="207">
        <v>1.0</v>
      </c>
      <c r="C13" s="202" t="s">
        <v>790</v>
      </c>
      <c r="D13" s="189"/>
      <c r="E13" s="54"/>
      <c r="F13" s="151" t="s">
        <v>141</v>
      </c>
      <c r="G13" s="151"/>
      <c r="H13" s="152"/>
      <c r="I13" s="209" t="s">
        <v>791</v>
      </c>
    </row>
    <row r="14">
      <c r="B14" s="210">
        <v>2.0</v>
      </c>
      <c r="C14" s="202" t="s">
        <v>792</v>
      </c>
      <c r="D14" s="189"/>
      <c r="E14" s="211"/>
      <c r="F14" s="151" t="s">
        <v>141</v>
      </c>
      <c r="G14" s="151"/>
      <c r="H14" s="152"/>
      <c r="I14" s="209" t="s">
        <v>702</v>
      </c>
    </row>
    <row r="15">
      <c r="B15" s="210">
        <v>3.0</v>
      </c>
      <c r="C15" s="194" t="s">
        <v>793</v>
      </c>
      <c r="D15" s="189"/>
      <c r="E15" s="54"/>
      <c r="F15" s="151" t="s">
        <v>141</v>
      </c>
      <c r="G15" s="151"/>
      <c r="H15" s="152"/>
      <c r="I15" s="209" t="s">
        <v>794</v>
      </c>
    </row>
    <row r="16">
      <c r="B16" s="210">
        <v>4.0</v>
      </c>
      <c r="C16" s="203" t="s">
        <v>795</v>
      </c>
      <c r="D16" s="189"/>
      <c r="E16" s="54"/>
      <c r="F16" s="151" t="s">
        <v>141</v>
      </c>
      <c r="G16" s="151"/>
      <c r="H16" s="152"/>
      <c r="I16" s="209" t="s">
        <v>702</v>
      </c>
    </row>
    <row r="17">
      <c r="B17" s="210">
        <v>5.0</v>
      </c>
      <c r="C17" s="203" t="s">
        <v>796</v>
      </c>
      <c r="D17" s="189"/>
      <c r="E17" s="54"/>
      <c r="F17" s="151" t="s">
        <v>141</v>
      </c>
      <c r="G17" s="151"/>
      <c r="H17" s="152"/>
      <c r="I17" s="209" t="s">
        <v>797</v>
      </c>
    </row>
    <row r="18">
      <c r="B18" s="210">
        <v>6.0</v>
      </c>
      <c r="C18" s="203" t="s">
        <v>798</v>
      </c>
      <c r="D18" s="189"/>
      <c r="E18" s="54"/>
      <c r="F18" s="151" t="s">
        <v>141</v>
      </c>
      <c r="G18" s="151"/>
      <c r="H18" s="152"/>
      <c r="I18" s="209" t="s">
        <v>702</v>
      </c>
    </row>
    <row r="19">
      <c r="B19" s="210">
        <v>7.0</v>
      </c>
      <c r="C19" s="202" t="s">
        <v>799</v>
      </c>
      <c r="D19" s="189"/>
      <c r="E19" s="54"/>
      <c r="F19" s="151" t="s">
        <v>141</v>
      </c>
      <c r="G19" s="151"/>
      <c r="H19" s="152"/>
      <c r="I19" s="209" t="s">
        <v>702</v>
      </c>
    </row>
    <row r="20">
      <c r="B20" s="210">
        <v>8.0</v>
      </c>
      <c r="C20" s="202" t="s">
        <v>800</v>
      </c>
      <c r="D20" s="189"/>
      <c r="F20" s="151" t="s">
        <v>141</v>
      </c>
      <c r="G20" s="151"/>
      <c r="H20" s="152"/>
      <c r="I20" s="209" t="s">
        <v>801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2:I2"/>
    <mergeCell ref="K2:L2"/>
    <mergeCell ref="C4:D4"/>
    <mergeCell ref="C5:D5"/>
    <mergeCell ref="C6:D6"/>
    <mergeCell ref="B7:C7"/>
    <mergeCell ref="B9:D9"/>
    <mergeCell ref="C16:D16"/>
    <mergeCell ref="C17:D17"/>
    <mergeCell ref="C18:D18"/>
    <mergeCell ref="C19:D19"/>
    <mergeCell ref="C20:D20"/>
    <mergeCell ref="F10:H10"/>
    <mergeCell ref="I10:I11"/>
    <mergeCell ref="B11:D11"/>
    <mergeCell ref="C12:D12"/>
    <mergeCell ref="C13:D13"/>
    <mergeCell ref="C14:D14"/>
    <mergeCell ref="C15:D15"/>
  </mergeCells>
  <printOptions/>
  <pageMargins bottom="0.75" footer="0.0" header="0.0" left="0.7" right="0.7" top="0.75"/>
  <pageSetup paperSize="9" orientation="portrait"/>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135"/>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COUNT(B12:D69)</f>
        <v>5</v>
      </c>
    </row>
    <row r="4">
      <c r="B4" s="33" t="s">
        <v>127</v>
      </c>
      <c r="C4" s="34" t="s">
        <v>128</v>
      </c>
      <c r="K4" s="31" t="s">
        <v>129</v>
      </c>
      <c r="L4" s="32">
        <f>COUNTIF(F12:F69,"X")</f>
        <v>5</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206" t="s">
        <v>802</v>
      </c>
      <c r="C11" s="27"/>
      <c r="D11" s="27"/>
      <c r="E11" s="43"/>
      <c r="F11" s="44" t="s">
        <v>127</v>
      </c>
      <c r="G11" s="45" t="s">
        <v>130</v>
      </c>
      <c r="H11" s="45" t="s">
        <v>132</v>
      </c>
      <c r="I11" s="46"/>
      <c r="J11" s="67"/>
    </row>
    <row r="12" ht="11.25" customHeight="1">
      <c r="C12" s="177"/>
      <c r="F12" s="147"/>
      <c r="G12" s="147"/>
      <c r="H12" s="147"/>
      <c r="I12" s="147"/>
    </row>
    <row r="13">
      <c r="B13" s="207">
        <v>1.0</v>
      </c>
      <c r="C13" s="194" t="s">
        <v>803</v>
      </c>
      <c r="D13" s="189"/>
      <c r="E13" s="54"/>
      <c r="F13" s="151" t="s">
        <v>141</v>
      </c>
      <c r="G13" s="151"/>
      <c r="H13" s="152"/>
      <c r="I13" s="153"/>
    </row>
    <row r="14">
      <c r="B14" s="210">
        <v>2.0</v>
      </c>
      <c r="C14" s="202" t="s">
        <v>804</v>
      </c>
      <c r="D14" s="189"/>
      <c r="E14" s="211"/>
      <c r="F14" s="151" t="s">
        <v>141</v>
      </c>
      <c r="G14" s="151"/>
      <c r="H14" s="152"/>
      <c r="I14" s="153"/>
    </row>
    <row r="15">
      <c r="B15" s="210">
        <v>3.0</v>
      </c>
      <c r="C15" s="194" t="s">
        <v>805</v>
      </c>
      <c r="D15" s="189"/>
      <c r="E15" s="54"/>
      <c r="F15" s="151" t="s">
        <v>141</v>
      </c>
      <c r="G15" s="151"/>
      <c r="H15" s="152"/>
      <c r="I15" s="153"/>
    </row>
    <row r="16">
      <c r="B16" s="210">
        <v>4.0</v>
      </c>
      <c r="C16" s="203" t="s">
        <v>806</v>
      </c>
      <c r="D16" s="189"/>
      <c r="E16" s="54"/>
      <c r="F16" s="151" t="s">
        <v>141</v>
      </c>
      <c r="G16" s="151"/>
      <c r="H16" s="152"/>
      <c r="I16" s="153"/>
    </row>
    <row r="17">
      <c r="B17" s="210">
        <v>5.0</v>
      </c>
      <c r="C17" s="203" t="s">
        <v>807</v>
      </c>
      <c r="D17" s="189"/>
      <c r="E17" s="54"/>
      <c r="F17" s="151" t="s">
        <v>141</v>
      </c>
      <c r="G17" s="151"/>
      <c r="H17" s="152"/>
      <c r="I17" s="15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2:I2"/>
    <mergeCell ref="K2:L2"/>
    <mergeCell ref="C4:D4"/>
    <mergeCell ref="C5:D5"/>
    <mergeCell ref="C6:D6"/>
    <mergeCell ref="B7:C7"/>
    <mergeCell ref="B9:D9"/>
    <mergeCell ref="C16:D16"/>
    <mergeCell ref="C17:D17"/>
    <mergeCell ref="F10:H10"/>
    <mergeCell ref="I10:I11"/>
    <mergeCell ref="B11:D11"/>
    <mergeCell ref="C12:D12"/>
    <mergeCell ref="C13:D13"/>
    <mergeCell ref="C14:D14"/>
    <mergeCell ref="C15:D15"/>
  </mergeCells>
  <printOptions/>
  <pageMargins bottom="0.75" footer="0.0" header="0.0" left="0.7" right="0.7" top="0.75"/>
  <pageSetup paperSize="9" orientation="portrait"/>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COUNT(B12:D99)</f>
        <v>11</v>
      </c>
    </row>
    <row r="4">
      <c r="B4" s="33" t="s">
        <v>127</v>
      </c>
      <c r="C4" s="34" t="s">
        <v>128</v>
      </c>
      <c r="K4" s="31" t="s">
        <v>129</v>
      </c>
      <c r="L4" s="32">
        <f>COUNTIF(F12:F99,"X")</f>
        <v>11</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206" t="s">
        <v>808</v>
      </c>
      <c r="C11" s="27"/>
      <c r="D11" s="27"/>
      <c r="E11" s="43"/>
      <c r="F11" s="44" t="s">
        <v>127</v>
      </c>
      <c r="G11" s="45" t="s">
        <v>130</v>
      </c>
      <c r="H11" s="45" t="s">
        <v>132</v>
      </c>
      <c r="I11" s="46"/>
      <c r="J11" s="67"/>
    </row>
    <row r="12" ht="11.25" customHeight="1">
      <c r="C12" s="177"/>
      <c r="F12" s="147"/>
      <c r="G12" s="147"/>
      <c r="H12" s="147"/>
      <c r="I12" s="147"/>
    </row>
    <row r="13">
      <c r="B13" s="207">
        <v>1.0</v>
      </c>
      <c r="C13" s="202" t="s">
        <v>809</v>
      </c>
      <c r="D13" s="189"/>
      <c r="E13" s="54"/>
      <c r="F13" s="151" t="s">
        <v>141</v>
      </c>
      <c r="G13" s="151"/>
      <c r="H13" s="152"/>
      <c r="I13" s="209" t="s">
        <v>255</v>
      </c>
    </row>
    <row r="14">
      <c r="B14" s="210">
        <v>2.0</v>
      </c>
      <c r="C14" s="202" t="s">
        <v>810</v>
      </c>
      <c r="D14" s="189"/>
      <c r="E14" s="211"/>
      <c r="F14" s="151" t="s">
        <v>141</v>
      </c>
      <c r="G14" s="212" t="s">
        <v>141</v>
      </c>
      <c r="H14" s="152"/>
      <c r="I14" s="209" t="s">
        <v>811</v>
      </c>
    </row>
    <row r="15">
      <c r="B15" s="210">
        <v>3.0</v>
      </c>
      <c r="C15" s="194" t="s">
        <v>812</v>
      </c>
      <c r="D15" s="189"/>
      <c r="E15" s="54"/>
      <c r="F15" s="151" t="s">
        <v>141</v>
      </c>
      <c r="G15" s="212" t="s">
        <v>141</v>
      </c>
      <c r="H15" s="152"/>
      <c r="I15" s="209" t="s">
        <v>811</v>
      </c>
    </row>
    <row r="16">
      <c r="B16" s="210">
        <v>4.0</v>
      </c>
      <c r="C16" s="203" t="s">
        <v>813</v>
      </c>
      <c r="D16" s="189"/>
      <c r="E16" s="54"/>
      <c r="F16" s="151" t="s">
        <v>141</v>
      </c>
      <c r="G16" s="151"/>
      <c r="H16" s="152"/>
      <c r="I16" s="209" t="s">
        <v>702</v>
      </c>
    </row>
    <row r="17">
      <c r="B17" s="210">
        <v>5.0</v>
      </c>
      <c r="C17" s="203" t="s">
        <v>814</v>
      </c>
      <c r="D17" s="189"/>
      <c r="E17" s="54"/>
      <c r="F17" s="151" t="s">
        <v>141</v>
      </c>
      <c r="G17" s="151"/>
      <c r="H17" s="152"/>
      <c r="I17" s="209" t="s">
        <v>702</v>
      </c>
    </row>
    <row r="18">
      <c r="A18" s="21">
        <v>6.0</v>
      </c>
      <c r="B18" s="210">
        <v>6.0</v>
      </c>
      <c r="C18" s="202" t="s">
        <v>815</v>
      </c>
      <c r="D18" s="189"/>
      <c r="E18" s="54"/>
      <c r="F18" s="151" t="s">
        <v>141</v>
      </c>
      <c r="G18" s="151"/>
      <c r="H18" s="152"/>
      <c r="I18" s="209" t="s">
        <v>702</v>
      </c>
    </row>
    <row r="19">
      <c r="B19" s="210">
        <v>7.0</v>
      </c>
      <c r="C19" s="202" t="s">
        <v>816</v>
      </c>
      <c r="D19" s="189"/>
      <c r="F19" s="151" t="s">
        <v>141</v>
      </c>
      <c r="G19" s="151"/>
      <c r="H19" s="152"/>
      <c r="I19" s="209" t="s">
        <v>817</v>
      </c>
    </row>
    <row r="20">
      <c r="B20" s="210">
        <v>8.0</v>
      </c>
      <c r="C20" s="194" t="s">
        <v>818</v>
      </c>
      <c r="D20" s="189"/>
      <c r="F20" s="151" t="s">
        <v>141</v>
      </c>
      <c r="G20" s="151"/>
      <c r="H20" s="152"/>
      <c r="I20" s="209" t="s">
        <v>819</v>
      </c>
    </row>
    <row r="21" ht="15.75" customHeight="1">
      <c r="B21" s="210">
        <v>9.0</v>
      </c>
      <c r="C21" s="202" t="s">
        <v>820</v>
      </c>
      <c r="D21" s="189"/>
      <c r="F21" s="151" t="s">
        <v>141</v>
      </c>
      <c r="G21" s="151"/>
      <c r="H21" s="152"/>
      <c r="I21" s="209" t="s">
        <v>821</v>
      </c>
    </row>
    <row r="22" ht="15.75" customHeight="1">
      <c r="B22" s="210">
        <v>10.0</v>
      </c>
      <c r="C22" s="202" t="s">
        <v>822</v>
      </c>
      <c r="D22" s="189"/>
      <c r="F22" s="151" t="s">
        <v>141</v>
      </c>
      <c r="G22" s="212" t="s">
        <v>141</v>
      </c>
      <c r="H22" s="152"/>
      <c r="I22" s="209" t="s">
        <v>823</v>
      </c>
    </row>
    <row r="23" ht="15.75" customHeight="1">
      <c r="B23" s="210">
        <v>11.0</v>
      </c>
      <c r="C23" s="202" t="s">
        <v>824</v>
      </c>
      <c r="D23" s="189"/>
      <c r="F23" s="151" t="s">
        <v>141</v>
      </c>
      <c r="G23" s="212" t="s">
        <v>141</v>
      </c>
      <c r="H23" s="152"/>
      <c r="I23" s="209" t="s">
        <v>823</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B2:I2"/>
    <mergeCell ref="K2:L2"/>
    <mergeCell ref="C4:D4"/>
    <mergeCell ref="C5:D5"/>
    <mergeCell ref="C6:D6"/>
    <mergeCell ref="B7:C7"/>
    <mergeCell ref="B9:D9"/>
    <mergeCell ref="C16:D16"/>
    <mergeCell ref="C17:D17"/>
    <mergeCell ref="C18:D18"/>
    <mergeCell ref="C19:D19"/>
    <mergeCell ref="C20:D20"/>
    <mergeCell ref="C21:D21"/>
    <mergeCell ref="C22:D22"/>
    <mergeCell ref="C23:D23"/>
    <mergeCell ref="F10:H10"/>
    <mergeCell ref="I10:I11"/>
    <mergeCell ref="B11:D11"/>
    <mergeCell ref="C12:D12"/>
    <mergeCell ref="C13:D13"/>
    <mergeCell ref="C14:D14"/>
    <mergeCell ref="C15:D15"/>
  </mergeCells>
  <printOptions/>
  <pageMargins bottom="0.75" footer="0.0" header="0.0" left="0.7" right="0.7" top="0.75"/>
  <pageSetup paperSize="9" orientation="portrait"/>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COUNT(B12:D100)</f>
        <v>36</v>
      </c>
    </row>
    <row r="4">
      <c r="B4" s="33" t="s">
        <v>127</v>
      </c>
      <c r="C4" s="34" t="s">
        <v>128</v>
      </c>
      <c r="K4" s="31" t="s">
        <v>129</v>
      </c>
      <c r="L4" s="32">
        <f>COUNTIF(F12:F100,"X")</f>
        <v>36</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206" t="s">
        <v>825</v>
      </c>
      <c r="C11" s="27"/>
      <c r="D11" s="27"/>
      <c r="E11" s="43"/>
      <c r="F11" s="44" t="s">
        <v>127</v>
      </c>
      <c r="G11" s="45" t="s">
        <v>130</v>
      </c>
      <c r="H11" s="45" t="s">
        <v>132</v>
      </c>
      <c r="I11" s="46"/>
      <c r="J11" s="67"/>
    </row>
    <row r="12" ht="11.25" customHeight="1">
      <c r="C12" s="177"/>
      <c r="F12" s="147"/>
      <c r="G12" s="147"/>
      <c r="H12" s="147"/>
      <c r="I12" s="147"/>
    </row>
    <row r="13">
      <c r="B13" s="207">
        <v>1.0</v>
      </c>
      <c r="C13" s="194" t="s">
        <v>826</v>
      </c>
      <c r="D13" s="189"/>
      <c r="E13" s="54"/>
      <c r="F13" s="151" t="s">
        <v>141</v>
      </c>
      <c r="G13" s="151"/>
      <c r="H13" s="152"/>
      <c r="I13" s="153"/>
    </row>
    <row r="14">
      <c r="B14" s="210">
        <v>2.0</v>
      </c>
      <c r="C14" s="202" t="s">
        <v>827</v>
      </c>
      <c r="D14" s="189"/>
      <c r="E14" s="211"/>
      <c r="F14" s="151" t="s">
        <v>141</v>
      </c>
      <c r="G14" s="151"/>
      <c r="H14" s="152"/>
      <c r="I14" s="153"/>
    </row>
    <row r="15">
      <c r="B15" s="210">
        <v>3.0</v>
      </c>
      <c r="C15" s="194" t="s">
        <v>828</v>
      </c>
      <c r="D15" s="189"/>
      <c r="E15" s="54"/>
      <c r="F15" s="151" t="s">
        <v>141</v>
      </c>
      <c r="G15" s="151"/>
      <c r="H15" s="152"/>
      <c r="I15" s="153"/>
    </row>
    <row r="16">
      <c r="B16" s="210">
        <v>4.0</v>
      </c>
      <c r="C16" s="203" t="s">
        <v>829</v>
      </c>
      <c r="D16" s="189"/>
      <c r="E16" s="54"/>
      <c r="F16" s="151" t="s">
        <v>141</v>
      </c>
      <c r="G16" s="151"/>
      <c r="H16" s="152"/>
      <c r="I16" s="153"/>
    </row>
    <row r="17">
      <c r="B17" s="210">
        <v>5.0</v>
      </c>
      <c r="C17" s="203" t="s">
        <v>830</v>
      </c>
      <c r="D17" s="189"/>
      <c r="E17" s="54"/>
      <c r="F17" s="151" t="s">
        <v>141</v>
      </c>
      <c r="G17" s="151"/>
      <c r="H17" s="152"/>
      <c r="I17" s="153"/>
    </row>
    <row r="18">
      <c r="B18" s="207">
        <v>6.0</v>
      </c>
      <c r="C18" s="194" t="s">
        <v>831</v>
      </c>
      <c r="D18" s="189"/>
      <c r="E18" s="54"/>
      <c r="F18" s="151" t="s">
        <v>141</v>
      </c>
      <c r="G18" s="151"/>
      <c r="H18" s="152"/>
      <c r="I18" s="153"/>
    </row>
    <row r="19">
      <c r="B19" s="210">
        <v>7.0</v>
      </c>
      <c r="C19" s="202" t="s">
        <v>832</v>
      </c>
      <c r="D19" s="189"/>
      <c r="E19" s="211"/>
      <c r="F19" s="151" t="s">
        <v>141</v>
      </c>
      <c r="G19" s="151"/>
      <c r="H19" s="152"/>
      <c r="I19" s="153"/>
    </row>
    <row r="20">
      <c r="B20" s="210">
        <v>8.0</v>
      </c>
      <c r="C20" s="194" t="s">
        <v>833</v>
      </c>
      <c r="D20" s="189"/>
      <c r="E20" s="54"/>
      <c r="F20" s="151" t="s">
        <v>141</v>
      </c>
      <c r="G20" s="151"/>
      <c r="H20" s="152"/>
      <c r="I20" s="153"/>
    </row>
    <row r="21" ht="15.75" customHeight="1">
      <c r="B21" s="210">
        <v>9.0</v>
      </c>
      <c r="C21" s="203" t="s">
        <v>834</v>
      </c>
      <c r="D21" s="189"/>
      <c r="E21" s="54"/>
      <c r="F21" s="151" t="s">
        <v>141</v>
      </c>
      <c r="G21" s="151"/>
      <c r="H21" s="152"/>
      <c r="I21" s="153"/>
    </row>
    <row r="22" ht="15.75" customHeight="1">
      <c r="B22" s="210">
        <v>10.0</v>
      </c>
      <c r="C22" s="203" t="s">
        <v>835</v>
      </c>
      <c r="D22" s="189"/>
      <c r="E22" s="54"/>
      <c r="F22" s="151" t="s">
        <v>141</v>
      </c>
      <c r="G22" s="151"/>
      <c r="H22" s="152"/>
      <c r="I22" s="153"/>
    </row>
    <row r="23" ht="15.75" customHeight="1">
      <c r="B23" s="207">
        <v>11.0</v>
      </c>
      <c r="C23" s="194" t="s">
        <v>836</v>
      </c>
      <c r="D23" s="189"/>
      <c r="E23" s="54"/>
      <c r="F23" s="151" t="s">
        <v>141</v>
      </c>
      <c r="G23" s="151"/>
      <c r="H23" s="152"/>
      <c r="I23" s="153"/>
    </row>
    <row r="24" ht="15.75" customHeight="1">
      <c r="B24" s="210">
        <v>12.0</v>
      </c>
      <c r="C24" s="202" t="s">
        <v>837</v>
      </c>
      <c r="D24" s="189"/>
      <c r="E24" s="211"/>
      <c r="F24" s="151" t="s">
        <v>141</v>
      </c>
      <c r="G24" s="151"/>
      <c r="H24" s="152"/>
      <c r="I24" s="153"/>
    </row>
    <row r="25" ht="15.75" customHeight="1">
      <c r="B25" s="210">
        <v>13.0</v>
      </c>
      <c r="C25" s="194" t="s">
        <v>838</v>
      </c>
      <c r="D25" s="189"/>
      <c r="E25" s="54"/>
      <c r="F25" s="151" t="s">
        <v>141</v>
      </c>
      <c r="G25" s="151"/>
      <c r="H25" s="152"/>
      <c r="I25" s="153"/>
    </row>
    <row r="26" ht="15.75" customHeight="1">
      <c r="B26" s="210">
        <v>14.0</v>
      </c>
      <c r="C26" s="203" t="s">
        <v>839</v>
      </c>
      <c r="D26" s="189"/>
      <c r="E26" s="54"/>
      <c r="F26" s="151" t="s">
        <v>141</v>
      </c>
      <c r="G26" s="151"/>
      <c r="H26" s="152"/>
      <c r="I26" s="153"/>
    </row>
    <row r="27" ht="15.75" customHeight="1">
      <c r="B27" s="210">
        <v>15.0</v>
      </c>
      <c r="C27" s="203" t="s">
        <v>840</v>
      </c>
      <c r="D27" s="189"/>
      <c r="E27" s="54"/>
      <c r="F27" s="151" t="s">
        <v>141</v>
      </c>
      <c r="G27" s="151"/>
      <c r="H27" s="152"/>
      <c r="I27" s="153"/>
    </row>
    <row r="28" ht="15.75" customHeight="1">
      <c r="B28" s="207">
        <v>16.0</v>
      </c>
      <c r="C28" s="194" t="s">
        <v>723</v>
      </c>
      <c r="D28" s="189"/>
      <c r="E28" s="54"/>
      <c r="F28" s="151" t="s">
        <v>141</v>
      </c>
      <c r="G28" s="151"/>
      <c r="H28" s="152"/>
      <c r="I28" s="153"/>
    </row>
    <row r="29" ht="15.75" customHeight="1">
      <c r="B29" s="210">
        <v>17.0</v>
      </c>
      <c r="C29" s="202" t="s">
        <v>724</v>
      </c>
      <c r="D29" s="189"/>
      <c r="E29" s="211"/>
      <c r="F29" s="151" t="s">
        <v>141</v>
      </c>
      <c r="G29" s="151"/>
      <c r="H29" s="152"/>
      <c r="I29" s="153"/>
    </row>
    <row r="30" ht="15.75" customHeight="1">
      <c r="B30" s="210">
        <v>18.0</v>
      </c>
      <c r="C30" s="194" t="s">
        <v>725</v>
      </c>
      <c r="D30" s="189"/>
      <c r="E30" s="54"/>
      <c r="F30" s="151" t="s">
        <v>141</v>
      </c>
      <c r="G30" s="151"/>
      <c r="H30" s="152"/>
      <c r="I30" s="153"/>
    </row>
    <row r="31" ht="15.75" customHeight="1">
      <c r="B31" s="210">
        <v>19.0</v>
      </c>
      <c r="C31" s="203" t="s">
        <v>726</v>
      </c>
      <c r="D31" s="189"/>
      <c r="E31" s="54"/>
      <c r="F31" s="151" t="s">
        <v>141</v>
      </c>
      <c r="G31" s="151"/>
      <c r="H31" s="152"/>
      <c r="I31" s="153"/>
    </row>
    <row r="32" ht="15.75" customHeight="1">
      <c r="B32" s="210">
        <v>20.0</v>
      </c>
      <c r="C32" s="203" t="s">
        <v>727</v>
      </c>
      <c r="D32" s="189"/>
      <c r="E32" s="54"/>
      <c r="F32" s="151" t="s">
        <v>141</v>
      </c>
      <c r="G32" s="151"/>
      <c r="H32" s="152"/>
      <c r="I32" s="153"/>
    </row>
    <row r="33" ht="15.75" customHeight="1">
      <c r="B33" s="207">
        <v>21.0</v>
      </c>
      <c r="C33" s="194" t="s">
        <v>728</v>
      </c>
      <c r="D33" s="189"/>
      <c r="E33" s="54"/>
      <c r="F33" s="151" t="s">
        <v>141</v>
      </c>
      <c r="G33" s="151"/>
      <c r="H33" s="152"/>
      <c r="I33" s="153"/>
    </row>
    <row r="34" ht="15.75" customHeight="1">
      <c r="B34" s="210">
        <v>22.0</v>
      </c>
      <c r="C34" s="202" t="s">
        <v>729</v>
      </c>
      <c r="D34" s="189"/>
      <c r="E34" s="211"/>
      <c r="F34" s="151" t="s">
        <v>141</v>
      </c>
      <c r="G34" s="151"/>
      <c r="H34" s="152"/>
      <c r="I34" s="153"/>
    </row>
    <row r="35" ht="15.75" customHeight="1">
      <c r="B35" s="210">
        <v>23.0</v>
      </c>
      <c r="C35" s="194" t="s">
        <v>730</v>
      </c>
      <c r="D35" s="189"/>
      <c r="E35" s="54"/>
      <c r="F35" s="151" t="s">
        <v>141</v>
      </c>
      <c r="G35" s="151"/>
      <c r="H35" s="152"/>
      <c r="I35" s="153"/>
    </row>
    <row r="36" ht="15.75" customHeight="1">
      <c r="B36" s="210">
        <v>24.0</v>
      </c>
      <c r="C36" s="203" t="s">
        <v>731</v>
      </c>
      <c r="D36" s="189"/>
      <c r="E36" s="54"/>
      <c r="F36" s="151" t="s">
        <v>141</v>
      </c>
      <c r="G36" s="151"/>
      <c r="H36" s="152"/>
      <c r="I36" s="153"/>
    </row>
    <row r="37" ht="15.75" customHeight="1">
      <c r="B37" s="210">
        <v>25.0</v>
      </c>
      <c r="C37" s="203" t="s">
        <v>732</v>
      </c>
      <c r="D37" s="189"/>
      <c r="E37" s="54"/>
      <c r="F37" s="151" t="s">
        <v>141</v>
      </c>
      <c r="G37" s="151"/>
      <c r="H37" s="152"/>
      <c r="I37" s="153"/>
    </row>
    <row r="38" ht="15.75" customHeight="1">
      <c r="B38" s="207">
        <v>26.0</v>
      </c>
      <c r="C38" s="194" t="s">
        <v>733</v>
      </c>
      <c r="D38" s="189"/>
      <c r="E38" s="54"/>
      <c r="F38" s="151" t="s">
        <v>141</v>
      </c>
      <c r="G38" s="151"/>
      <c r="H38" s="152"/>
      <c r="I38" s="153"/>
    </row>
    <row r="39" ht="15.75" customHeight="1">
      <c r="B39" s="210">
        <v>27.0</v>
      </c>
      <c r="C39" s="202" t="s">
        <v>734</v>
      </c>
      <c r="D39" s="189"/>
      <c r="E39" s="211"/>
      <c r="F39" s="151" t="s">
        <v>141</v>
      </c>
      <c r="G39" s="151"/>
      <c r="H39" s="152"/>
      <c r="I39" s="153"/>
    </row>
    <row r="40" ht="15.75" customHeight="1">
      <c r="B40" s="210">
        <v>28.0</v>
      </c>
      <c r="C40" s="194" t="s">
        <v>735</v>
      </c>
      <c r="D40" s="189"/>
      <c r="E40" s="54"/>
      <c r="F40" s="151" t="s">
        <v>141</v>
      </c>
      <c r="G40" s="151"/>
      <c r="H40" s="152"/>
      <c r="I40" s="153"/>
    </row>
    <row r="41" ht="15.75" customHeight="1">
      <c r="B41" s="210">
        <v>29.0</v>
      </c>
      <c r="C41" s="203" t="s">
        <v>736</v>
      </c>
      <c r="D41" s="189"/>
      <c r="E41" s="54"/>
      <c r="F41" s="151" t="s">
        <v>141</v>
      </c>
      <c r="G41" s="151"/>
      <c r="H41" s="152"/>
      <c r="I41" s="153"/>
    </row>
    <row r="42" ht="15.75" customHeight="1">
      <c r="B42" s="210">
        <v>30.0</v>
      </c>
      <c r="C42" s="203" t="s">
        <v>737</v>
      </c>
      <c r="D42" s="189"/>
      <c r="E42" s="54"/>
      <c r="F42" s="151" t="s">
        <v>141</v>
      </c>
      <c r="G42" s="151"/>
      <c r="H42" s="152"/>
      <c r="I42" s="153"/>
    </row>
    <row r="43" ht="15.75" customHeight="1">
      <c r="B43" s="207">
        <v>31.0</v>
      </c>
      <c r="C43" s="194" t="s">
        <v>738</v>
      </c>
      <c r="D43" s="189"/>
      <c r="E43" s="54"/>
      <c r="F43" s="151" t="s">
        <v>141</v>
      </c>
      <c r="G43" s="151"/>
      <c r="H43" s="152"/>
      <c r="I43" s="153"/>
    </row>
    <row r="44" ht="15.75" customHeight="1">
      <c r="B44" s="210">
        <v>32.0</v>
      </c>
      <c r="C44" s="202" t="s">
        <v>739</v>
      </c>
      <c r="D44" s="189"/>
      <c r="E44" s="211"/>
      <c r="F44" s="151" t="s">
        <v>141</v>
      </c>
      <c r="G44" s="151"/>
      <c r="H44" s="152"/>
      <c r="I44" s="153"/>
    </row>
    <row r="45" ht="15.75" customHeight="1">
      <c r="B45" s="210">
        <v>33.0</v>
      </c>
      <c r="C45" s="194" t="s">
        <v>740</v>
      </c>
      <c r="D45" s="189"/>
      <c r="E45" s="54"/>
      <c r="F45" s="151" t="s">
        <v>141</v>
      </c>
      <c r="G45" s="151"/>
      <c r="H45" s="152"/>
      <c r="I45" s="153"/>
    </row>
    <row r="46" ht="15.75" customHeight="1">
      <c r="B46" s="210">
        <v>34.0</v>
      </c>
      <c r="C46" s="203" t="s">
        <v>741</v>
      </c>
      <c r="D46" s="189"/>
      <c r="E46" s="54"/>
      <c r="F46" s="151" t="s">
        <v>141</v>
      </c>
      <c r="G46" s="151"/>
      <c r="H46" s="152"/>
      <c r="I46" s="153"/>
    </row>
    <row r="47" ht="15.75" customHeight="1">
      <c r="B47" s="210">
        <v>35.0</v>
      </c>
      <c r="C47" s="203" t="s">
        <v>742</v>
      </c>
      <c r="D47" s="189"/>
      <c r="E47" s="54"/>
      <c r="F47" s="151" t="s">
        <v>141</v>
      </c>
      <c r="G47" s="151"/>
      <c r="H47" s="152"/>
      <c r="I47" s="153"/>
    </row>
    <row r="48" ht="15.75" customHeight="1">
      <c r="B48" s="210">
        <v>36.0</v>
      </c>
      <c r="C48" s="203" t="s">
        <v>743</v>
      </c>
      <c r="D48" s="189"/>
      <c r="E48" s="54"/>
      <c r="F48" s="151" t="s">
        <v>141</v>
      </c>
      <c r="G48" s="151"/>
      <c r="H48" s="152"/>
      <c r="I48" s="153"/>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7">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44:D44"/>
    <mergeCell ref="C45:D45"/>
    <mergeCell ref="C46:D46"/>
    <mergeCell ref="C47:D47"/>
    <mergeCell ref="C48:D48"/>
    <mergeCell ref="C37:D37"/>
    <mergeCell ref="C38:D38"/>
    <mergeCell ref="C39:D39"/>
    <mergeCell ref="C40:D40"/>
    <mergeCell ref="C41:D41"/>
    <mergeCell ref="C42:D42"/>
    <mergeCell ref="C43:D43"/>
  </mergeCells>
  <printOptions/>
  <pageMargins bottom="0.75" footer="0.0" header="0.0" left="0.7" right="0.7" top="0.75"/>
  <pageSetup paperSize="9" orientation="portrait"/>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COUNT(B12:D93)</f>
        <v>5</v>
      </c>
    </row>
    <row r="4">
      <c r="B4" s="33" t="s">
        <v>127</v>
      </c>
      <c r="C4" s="34" t="s">
        <v>128</v>
      </c>
      <c r="K4" s="31" t="s">
        <v>129</v>
      </c>
      <c r="L4" s="32">
        <f>COUNTIF(F12:F93,"X")</f>
        <v>5</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206" t="s">
        <v>841</v>
      </c>
      <c r="C11" s="27"/>
      <c r="D11" s="27"/>
      <c r="E11" s="43"/>
      <c r="F11" s="44" t="s">
        <v>127</v>
      </c>
      <c r="G11" s="45" t="s">
        <v>130</v>
      </c>
      <c r="H11" s="45" t="s">
        <v>132</v>
      </c>
      <c r="I11" s="46"/>
      <c r="J11" s="67"/>
    </row>
    <row r="12" ht="11.25" customHeight="1">
      <c r="C12" s="177"/>
      <c r="F12" s="147"/>
      <c r="G12" s="147"/>
      <c r="H12" s="147"/>
      <c r="I12" s="147"/>
    </row>
    <row r="13">
      <c r="B13" s="207">
        <v>1.0</v>
      </c>
      <c r="C13" s="202" t="s">
        <v>842</v>
      </c>
      <c r="D13" s="189"/>
      <c r="E13" s="54"/>
      <c r="F13" s="151" t="s">
        <v>141</v>
      </c>
      <c r="G13" s="151"/>
      <c r="H13" s="152"/>
      <c r="I13" s="209" t="s">
        <v>702</v>
      </c>
    </row>
    <row r="14">
      <c r="B14" s="210">
        <v>2.0</v>
      </c>
      <c r="C14" s="202" t="s">
        <v>843</v>
      </c>
      <c r="D14" s="189"/>
      <c r="E14" s="211"/>
      <c r="F14" s="151" t="s">
        <v>141</v>
      </c>
      <c r="G14" s="151"/>
      <c r="H14" s="152"/>
      <c r="I14" s="209" t="s">
        <v>702</v>
      </c>
    </row>
    <row r="15">
      <c r="B15" s="210">
        <v>3.0</v>
      </c>
      <c r="C15" s="194" t="s">
        <v>844</v>
      </c>
      <c r="D15" s="189"/>
      <c r="E15" s="54"/>
      <c r="F15" s="151" t="s">
        <v>141</v>
      </c>
      <c r="G15" s="151"/>
      <c r="H15" s="152"/>
      <c r="I15" s="209" t="s">
        <v>702</v>
      </c>
    </row>
    <row r="16">
      <c r="B16" s="210">
        <v>4.0</v>
      </c>
      <c r="C16" s="203" t="s">
        <v>845</v>
      </c>
      <c r="D16" s="189"/>
      <c r="E16" s="54"/>
      <c r="F16" s="151" t="s">
        <v>141</v>
      </c>
      <c r="G16" s="151"/>
      <c r="H16" s="152"/>
      <c r="I16" s="209" t="s">
        <v>702</v>
      </c>
    </row>
    <row r="17">
      <c r="B17" s="210">
        <v>5.0</v>
      </c>
      <c r="C17" s="203" t="s">
        <v>846</v>
      </c>
      <c r="D17" s="189"/>
      <c r="E17" s="54"/>
      <c r="F17" s="151" t="s">
        <v>141</v>
      </c>
      <c r="G17" s="151"/>
      <c r="H17" s="152"/>
      <c r="I17" s="209" t="s">
        <v>702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2:I2"/>
    <mergeCell ref="K2:L2"/>
    <mergeCell ref="C4:D4"/>
    <mergeCell ref="C5:D5"/>
    <mergeCell ref="C6:D6"/>
    <mergeCell ref="B7:C7"/>
    <mergeCell ref="B9:D9"/>
    <mergeCell ref="C16:D16"/>
    <mergeCell ref="C17:D17"/>
    <mergeCell ref="F10:H10"/>
    <mergeCell ref="I10:I11"/>
    <mergeCell ref="B11:D11"/>
    <mergeCell ref="C12:D12"/>
    <mergeCell ref="C13:D13"/>
    <mergeCell ref="C14:D14"/>
    <mergeCell ref="C15:D15"/>
  </mergeCells>
  <printOptions/>
  <pageMargins bottom="0.75" footer="0.0" header="0.0" left="0.7" right="0.7" top="0.75"/>
  <pageSetup paperSize="9" orientation="portrait"/>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COUNT(B12:D69)</f>
        <v>15</v>
      </c>
    </row>
    <row r="4">
      <c r="B4" s="33" t="s">
        <v>127</v>
      </c>
      <c r="C4" s="34" t="s">
        <v>128</v>
      </c>
      <c r="K4" s="31" t="s">
        <v>129</v>
      </c>
      <c r="L4" s="32">
        <f>COUNTIF(F12:F69,"X")</f>
        <v>15</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206" t="s">
        <v>802</v>
      </c>
      <c r="C11" s="27"/>
      <c r="D11" s="27"/>
      <c r="E11" s="43"/>
      <c r="F11" s="44" t="s">
        <v>127</v>
      </c>
      <c r="G11" s="45" t="s">
        <v>130</v>
      </c>
      <c r="H11" s="45" t="s">
        <v>132</v>
      </c>
      <c r="I11" s="46"/>
      <c r="J11" s="67"/>
    </row>
    <row r="12" ht="11.25" customHeight="1">
      <c r="C12" s="177"/>
      <c r="F12" s="147"/>
      <c r="G12" s="147"/>
      <c r="H12" s="147"/>
      <c r="I12" s="147"/>
    </row>
    <row r="13">
      <c r="B13" s="207">
        <v>1.0</v>
      </c>
      <c r="C13" s="194" t="s">
        <v>847</v>
      </c>
      <c r="D13" s="189"/>
      <c r="E13" s="54"/>
      <c r="F13" s="151" t="s">
        <v>141</v>
      </c>
      <c r="G13" s="151"/>
      <c r="H13" s="152"/>
      <c r="I13" s="153"/>
    </row>
    <row r="14">
      <c r="B14" s="210">
        <v>2.0</v>
      </c>
      <c r="C14" s="202" t="s">
        <v>848</v>
      </c>
      <c r="D14" s="189"/>
      <c r="E14" s="211"/>
      <c r="F14" s="151" t="s">
        <v>141</v>
      </c>
      <c r="G14" s="151"/>
      <c r="H14" s="152"/>
      <c r="I14" s="153"/>
    </row>
    <row r="15">
      <c r="B15" s="210">
        <v>3.0</v>
      </c>
      <c r="C15" s="194" t="s">
        <v>849</v>
      </c>
      <c r="D15" s="189"/>
      <c r="E15" s="54"/>
      <c r="F15" s="151" t="s">
        <v>141</v>
      </c>
      <c r="G15" s="151"/>
      <c r="H15" s="152"/>
      <c r="I15" s="153"/>
    </row>
    <row r="16">
      <c r="B16" s="210">
        <v>4.0</v>
      </c>
      <c r="C16" s="203" t="s">
        <v>850</v>
      </c>
      <c r="D16" s="189"/>
      <c r="E16" s="54"/>
      <c r="F16" s="151" t="s">
        <v>141</v>
      </c>
      <c r="G16" s="151"/>
      <c r="H16" s="152"/>
      <c r="I16" s="153"/>
    </row>
    <row r="17">
      <c r="B17" s="210">
        <v>5.0</v>
      </c>
      <c r="C17" s="203" t="s">
        <v>851</v>
      </c>
      <c r="D17" s="189"/>
      <c r="E17" s="54"/>
      <c r="F17" s="151" t="s">
        <v>141</v>
      </c>
      <c r="G17" s="151"/>
      <c r="H17" s="152"/>
      <c r="I17" s="153"/>
    </row>
    <row r="18" ht="18.75" customHeight="1">
      <c r="B18" s="210">
        <v>6.0</v>
      </c>
      <c r="C18" s="203" t="s">
        <v>852</v>
      </c>
      <c r="D18" s="189"/>
      <c r="E18" s="54"/>
      <c r="F18" s="151" t="s">
        <v>141</v>
      </c>
      <c r="G18" s="151"/>
      <c r="H18" s="152"/>
      <c r="I18" s="153"/>
    </row>
    <row r="19" ht="18.75" customHeight="1">
      <c r="B19" s="210">
        <v>7.0</v>
      </c>
      <c r="C19" s="203" t="s">
        <v>853</v>
      </c>
      <c r="D19" s="189"/>
      <c r="E19" s="54"/>
      <c r="F19" s="151" t="s">
        <v>141</v>
      </c>
      <c r="G19" s="151"/>
      <c r="H19" s="152"/>
      <c r="I19" s="153"/>
    </row>
    <row r="20" ht="18.75" customHeight="1">
      <c r="B20" s="210">
        <v>8.0</v>
      </c>
      <c r="C20" s="203" t="s">
        <v>854</v>
      </c>
      <c r="D20" s="189"/>
      <c r="E20" s="54"/>
      <c r="F20" s="151" t="s">
        <v>141</v>
      </c>
      <c r="G20" s="151"/>
      <c r="H20" s="152"/>
      <c r="I20" s="153"/>
    </row>
    <row r="21" ht="18.75" customHeight="1">
      <c r="B21" s="210">
        <v>9.0</v>
      </c>
      <c r="C21" s="203" t="s">
        <v>855</v>
      </c>
      <c r="D21" s="189"/>
      <c r="E21" s="54"/>
      <c r="F21" s="151" t="s">
        <v>141</v>
      </c>
      <c r="G21" s="151"/>
      <c r="H21" s="152"/>
      <c r="I21" s="153"/>
    </row>
    <row r="22" ht="18.75" customHeight="1">
      <c r="B22" s="210">
        <v>10.0</v>
      </c>
      <c r="C22" s="203" t="s">
        <v>856</v>
      </c>
      <c r="D22" s="189"/>
      <c r="E22" s="54"/>
      <c r="F22" s="151" t="s">
        <v>141</v>
      </c>
      <c r="G22" s="151"/>
      <c r="H22" s="152"/>
      <c r="I22" s="153"/>
    </row>
    <row r="23" ht="18.75" customHeight="1">
      <c r="B23" s="210">
        <v>11.0</v>
      </c>
      <c r="C23" s="203" t="s">
        <v>857</v>
      </c>
      <c r="D23" s="189"/>
      <c r="E23" s="54"/>
      <c r="F23" s="151" t="s">
        <v>141</v>
      </c>
      <c r="G23" s="151"/>
      <c r="H23" s="152"/>
      <c r="I23" s="153"/>
    </row>
    <row r="24" ht="18.75" customHeight="1">
      <c r="B24" s="210">
        <v>12.0</v>
      </c>
      <c r="C24" s="203" t="s">
        <v>858</v>
      </c>
      <c r="D24" s="189"/>
      <c r="E24" s="54"/>
      <c r="F24" s="151" t="s">
        <v>141</v>
      </c>
      <c r="G24" s="151"/>
      <c r="H24" s="152"/>
      <c r="I24" s="153"/>
    </row>
    <row r="25" ht="18.75" customHeight="1">
      <c r="B25" s="210">
        <v>13.0</v>
      </c>
      <c r="C25" s="203" t="s">
        <v>859</v>
      </c>
      <c r="D25" s="189"/>
      <c r="E25" s="54"/>
      <c r="F25" s="151" t="s">
        <v>141</v>
      </c>
      <c r="G25" s="151"/>
      <c r="H25" s="152"/>
      <c r="I25" s="153"/>
    </row>
    <row r="26" ht="18.75" customHeight="1">
      <c r="B26" s="210">
        <v>14.0</v>
      </c>
      <c r="C26" s="203" t="s">
        <v>860</v>
      </c>
      <c r="D26" s="189"/>
      <c r="E26" s="54"/>
      <c r="F26" s="151" t="s">
        <v>141</v>
      </c>
      <c r="G26" s="151"/>
      <c r="H26" s="152"/>
      <c r="I26" s="153"/>
    </row>
    <row r="27" ht="18.75" customHeight="1">
      <c r="B27" s="210">
        <v>15.0</v>
      </c>
      <c r="C27" s="203" t="s">
        <v>861</v>
      </c>
      <c r="D27" s="189"/>
      <c r="E27" s="54"/>
      <c r="F27" s="151" t="s">
        <v>141</v>
      </c>
      <c r="G27" s="151"/>
      <c r="H27" s="152"/>
      <c r="I27" s="153"/>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23:D23"/>
    <mergeCell ref="C24:D24"/>
    <mergeCell ref="C25:D25"/>
    <mergeCell ref="C26:D26"/>
    <mergeCell ref="C27:D27"/>
    <mergeCell ref="C16:D16"/>
    <mergeCell ref="C17:D17"/>
    <mergeCell ref="C18:D18"/>
    <mergeCell ref="C19:D19"/>
    <mergeCell ref="C20:D20"/>
    <mergeCell ref="C21:D21"/>
    <mergeCell ref="C22:D22"/>
  </mergeCells>
  <printOptions/>
  <pageMargins bottom="0.75" footer="0.0" header="0.0" left="0.7" right="0.7" top="0.75"/>
  <pageSetup paperSize="9" orientation="portrait"/>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40.0"/>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COUNT(B12:D99)</f>
        <v>18</v>
      </c>
    </row>
    <row r="4">
      <c r="B4" s="33" t="s">
        <v>127</v>
      </c>
      <c r="C4" s="34" t="s">
        <v>128</v>
      </c>
      <c r="K4" s="31" t="s">
        <v>129</v>
      </c>
      <c r="L4" s="32">
        <f>COUNTIF(F12:F99,"X")</f>
        <v>18</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206" t="s">
        <v>862</v>
      </c>
      <c r="C11" s="27"/>
      <c r="D11" s="27"/>
      <c r="E11" s="43"/>
      <c r="F11" s="44" t="s">
        <v>127</v>
      </c>
      <c r="G11" s="45" t="s">
        <v>130</v>
      </c>
      <c r="H11" s="45" t="s">
        <v>132</v>
      </c>
      <c r="I11" s="46"/>
      <c r="J11" s="67"/>
    </row>
    <row r="12" ht="11.25" customHeight="1">
      <c r="C12" s="177"/>
      <c r="F12" s="147"/>
      <c r="G12" s="147"/>
      <c r="H12" s="147"/>
      <c r="I12" s="147"/>
    </row>
    <row r="13">
      <c r="B13" s="207">
        <v>1.0</v>
      </c>
      <c r="C13" s="202" t="s">
        <v>863</v>
      </c>
      <c r="D13" s="189"/>
      <c r="E13" s="54"/>
      <c r="F13" s="151" t="s">
        <v>141</v>
      </c>
      <c r="G13" s="151"/>
      <c r="H13" s="152"/>
      <c r="I13" s="209" t="s">
        <v>702</v>
      </c>
    </row>
    <row r="14">
      <c r="B14" s="210">
        <v>2.0</v>
      </c>
      <c r="C14" s="202" t="s">
        <v>864</v>
      </c>
      <c r="D14" s="189"/>
      <c r="E14" s="211"/>
      <c r="F14" s="151" t="s">
        <v>141</v>
      </c>
      <c r="G14" s="151"/>
      <c r="H14" s="152"/>
      <c r="I14" s="209" t="s">
        <v>702</v>
      </c>
    </row>
    <row r="15">
      <c r="B15" s="210">
        <v>3.0</v>
      </c>
      <c r="C15" s="194" t="s">
        <v>865</v>
      </c>
      <c r="D15" s="189"/>
      <c r="E15" s="54"/>
      <c r="F15" s="151" t="s">
        <v>141</v>
      </c>
      <c r="G15" s="151"/>
      <c r="H15" s="152"/>
      <c r="I15" s="209" t="s">
        <v>702</v>
      </c>
    </row>
    <row r="16">
      <c r="B16" s="210">
        <v>4.0</v>
      </c>
      <c r="C16" s="203" t="s">
        <v>866</v>
      </c>
      <c r="D16" s="189"/>
      <c r="E16" s="54"/>
      <c r="F16" s="151" t="s">
        <v>141</v>
      </c>
      <c r="G16" s="151"/>
      <c r="H16" s="152"/>
      <c r="I16" s="209" t="s">
        <v>702</v>
      </c>
    </row>
    <row r="17">
      <c r="B17" s="210">
        <v>5.0</v>
      </c>
      <c r="C17" s="203" t="s">
        <v>867</v>
      </c>
      <c r="D17" s="189"/>
      <c r="E17" s="54"/>
      <c r="F17" s="151" t="s">
        <v>141</v>
      </c>
      <c r="G17" s="151"/>
      <c r="H17" s="152"/>
      <c r="I17" s="209" t="s">
        <v>702</v>
      </c>
    </row>
    <row r="18">
      <c r="B18" s="210">
        <v>6.0</v>
      </c>
      <c r="C18" s="203" t="s">
        <v>868</v>
      </c>
      <c r="D18" s="189"/>
      <c r="E18" s="54"/>
      <c r="F18" s="151" t="s">
        <v>141</v>
      </c>
      <c r="G18" s="151"/>
      <c r="H18" s="152"/>
      <c r="I18" s="209" t="s">
        <v>869</v>
      </c>
    </row>
    <row r="19">
      <c r="B19" s="210">
        <v>7.0</v>
      </c>
      <c r="C19" s="202" t="s">
        <v>870</v>
      </c>
      <c r="D19" s="189"/>
      <c r="E19" s="54"/>
      <c r="F19" s="151" t="s">
        <v>141</v>
      </c>
      <c r="G19" s="151"/>
      <c r="H19" s="152"/>
      <c r="I19" s="209" t="s">
        <v>702</v>
      </c>
    </row>
    <row r="20">
      <c r="B20" s="210">
        <v>8.0</v>
      </c>
      <c r="C20" s="202" t="s">
        <v>871</v>
      </c>
      <c r="D20" s="189"/>
      <c r="F20" s="151" t="s">
        <v>141</v>
      </c>
      <c r="G20" s="151"/>
      <c r="H20" s="152"/>
      <c r="I20" s="209" t="s">
        <v>702</v>
      </c>
    </row>
    <row r="21" ht="15.75" customHeight="1">
      <c r="B21" s="210">
        <v>9.0</v>
      </c>
      <c r="C21" s="194" t="s">
        <v>872</v>
      </c>
      <c r="D21" s="189"/>
      <c r="F21" s="151" t="s">
        <v>141</v>
      </c>
      <c r="G21" s="151"/>
      <c r="H21" s="152"/>
      <c r="I21" s="209" t="s">
        <v>702</v>
      </c>
    </row>
    <row r="22" ht="15.75" customHeight="1">
      <c r="B22" s="210">
        <v>10.0</v>
      </c>
      <c r="C22" s="202" t="s">
        <v>873</v>
      </c>
      <c r="D22" s="189"/>
      <c r="F22" s="151" t="s">
        <v>141</v>
      </c>
      <c r="G22" s="151"/>
      <c r="H22" s="152"/>
      <c r="I22" s="209" t="s">
        <v>702</v>
      </c>
    </row>
    <row r="23" ht="15.75" customHeight="1">
      <c r="B23" s="210">
        <v>11.0</v>
      </c>
      <c r="C23" s="202" t="s">
        <v>874</v>
      </c>
      <c r="D23" s="189"/>
      <c r="F23" s="151" t="s">
        <v>141</v>
      </c>
      <c r="G23" s="151"/>
      <c r="H23" s="152"/>
      <c r="I23" s="209" t="s">
        <v>875</v>
      </c>
    </row>
    <row r="24" ht="15.75" customHeight="1">
      <c r="B24" s="210">
        <v>12.0</v>
      </c>
      <c r="C24" s="202" t="s">
        <v>876</v>
      </c>
      <c r="D24" s="189"/>
      <c r="F24" s="151" t="s">
        <v>141</v>
      </c>
      <c r="G24" s="151"/>
      <c r="H24" s="152"/>
      <c r="I24" s="209" t="s">
        <v>877</v>
      </c>
    </row>
    <row r="25" ht="35.25" customHeight="1">
      <c r="B25" s="210">
        <v>13.0</v>
      </c>
      <c r="C25" s="216" t="s">
        <v>878</v>
      </c>
      <c r="D25" s="189"/>
      <c r="F25" s="151" t="s">
        <v>141</v>
      </c>
      <c r="G25" s="151"/>
      <c r="H25" s="152"/>
      <c r="I25" s="209" t="s">
        <v>879</v>
      </c>
    </row>
    <row r="26" ht="15.75" customHeight="1">
      <c r="B26" s="210">
        <v>14.0</v>
      </c>
      <c r="C26" s="202" t="s">
        <v>880</v>
      </c>
      <c r="D26" s="189"/>
      <c r="F26" s="151" t="s">
        <v>141</v>
      </c>
      <c r="G26" s="151"/>
      <c r="H26" s="152"/>
      <c r="I26" s="209" t="s">
        <v>877</v>
      </c>
    </row>
    <row r="27" ht="15.75" customHeight="1">
      <c r="B27" s="210">
        <v>15.0</v>
      </c>
      <c r="C27" s="202" t="s">
        <v>881</v>
      </c>
      <c r="D27" s="189"/>
      <c r="F27" s="151" t="s">
        <v>141</v>
      </c>
      <c r="G27" s="151"/>
      <c r="H27" s="152"/>
      <c r="I27" s="209" t="s">
        <v>882</v>
      </c>
    </row>
    <row r="28" ht="15.75" customHeight="1">
      <c r="B28" s="210">
        <v>16.0</v>
      </c>
      <c r="C28" s="202" t="s">
        <v>883</v>
      </c>
      <c r="D28" s="189"/>
      <c r="F28" s="151" t="s">
        <v>141</v>
      </c>
      <c r="G28" s="151"/>
      <c r="H28" s="152"/>
      <c r="I28" s="209" t="s">
        <v>877</v>
      </c>
    </row>
    <row r="29" ht="15.75" customHeight="1">
      <c r="B29" s="210">
        <v>17.0</v>
      </c>
      <c r="C29" s="202" t="s">
        <v>884</v>
      </c>
      <c r="D29" s="189"/>
      <c r="F29" s="151" t="s">
        <v>141</v>
      </c>
      <c r="G29" s="151"/>
      <c r="H29" s="152"/>
      <c r="I29" s="209" t="s">
        <v>877</v>
      </c>
    </row>
    <row r="30" ht="15.75" customHeight="1">
      <c r="B30" s="210">
        <v>18.0</v>
      </c>
      <c r="C30" s="202" t="s">
        <v>885</v>
      </c>
      <c r="D30" s="189"/>
      <c r="F30" s="151" t="s">
        <v>141</v>
      </c>
      <c r="G30" s="151"/>
      <c r="H30" s="152"/>
      <c r="I30" s="209" t="s">
        <v>702</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23:D23"/>
    <mergeCell ref="C24:D24"/>
    <mergeCell ref="C25:D25"/>
    <mergeCell ref="C26:D26"/>
    <mergeCell ref="C27:D27"/>
    <mergeCell ref="C28:D28"/>
    <mergeCell ref="C29:D29"/>
    <mergeCell ref="C30:D30"/>
    <mergeCell ref="C16:D16"/>
    <mergeCell ref="C17:D17"/>
    <mergeCell ref="C18:D18"/>
    <mergeCell ref="C19:D19"/>
    <mergeCell ref="C20:D20"/>
    <mergeCell ref="C21:D21"/>
    <mergeCell ref="C22:D22"/>
  </mergeCells>
  <printOptions/>
  <pageMargins bottom="0.75" footer="0.0" header="0.0" left="0.7" right="0.7" top="0.75"/>
  <pageSetup paperSize="9" orientation="portrait"/>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COUNT(B12:D91)</f>
        <v>33</v>
      </c>
    </row>
    <row r="4">
      <c r="B4" s="33" t="s">
        <v>127</v>
      </c>
      <c r="C4" s="34" t="s">
        <v>128</v>
      </c>
      <c r="K4" s="31" t="s">
        <v>129</v>
      </c>
      <c r="L4" s="32">
        <f>COUNTIF(F12:F91,"X")</f>
        <v>33</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206" t="s">
        <v>886</v>
      </c>
      <c r="C11" s="27"/>
      <c r="D11" s="27"/>
      <c r="E11" s="43"/>
      <c r="F11" s="44" t="s">
        <v>127</v>
      </c>
      <c r="G11" s="45" t="s">
        <v>130</v>
      </c>
      <c r="H11" s="45" t="s">
        <v>132</v>
      </c>
      <c r="I11" s="46"/>
      <c r="J11" s="67"/>
    </row>
    <row r="12" ht="11.25" customHeight="1">
      <c r="C12" s="177"/>
      <c r="F12" s="147"/>
      <c r="G12" s="147"/>
      <c r="H12" s="147"/>
      <c r="I12" s="147"/>
    </row>
    <row r="13">
      <c r="B13" s="207">
        <v>1.0</v>
      </c>
      <c r="C13" s="194" t="s">
        <v>887</v>
      </c>
      <c r="D13" s="189"/>
      <c r="E13" s="54"/>
      <c r="F13" s="151" t="s">
        <v>141</v>
      </c>
      <c r="G13" s="151"/>
      <c r="H13" s="152"/>
      <c r="I13" s="153"/>
    </row>
    <row r="14">
      <c r="B14" s="210">
        <v>2.0</v>
      </c>
      <c r="C14" s="202" t="s">
        <v>888</v>
      </c>
      <c r="D14" s="189"/>
      <c r="E14" s="211"/>
      <c r="F14" s="151" t="s">
        <v>141</v>
      </c>
      <c r="G14" s="151"/>
      <c r="H14" s="152"/>
      <c r="I14" s="153"/>
    </row>
    <row r="15">
      <c r="B15" s="210">
        <v>3.0</v>
      </c>
      <c r="C15" s="194" t="s">
        <v>889</v>
      </c>
      <c r="D15" s="189"/>
      <c r="E15" s="54"/>
      <c r="F15" s="151" t="s">
        <v>141</v>
      </c>
      <c r="G15" s="151"/>
      <c r="H15" s="152"/>
      <c r="I15" s="153"/>
    </row>
    <row r="16">
      <c r="B16" s="210">
        <v>4.0</v>
      </c>
      <c r="C16" s="203" t="s">
        <v>890</v>
      </c>
      <c r="D16" s="189"/>
      <c r="E16" s="54"/>
      <c r="F16" s="151" t="s">
        <v>141</v>
      </c>
      <c r="G16" s="151"/>
      <c r="H16" s="152"/>
      <c r="I16" s="153"/>
    </row>
    <row r="17">
      <c r="B17" s="210">
        <v>5.0</v>
      </c>
      <c r="C17" s="203" t="s">
        <v>891</v>
      </c>
      <c r="D17" s="189"/>
      <c r="E17" s="54"/>
      <c r="F17" s="151" t="s">
        <v>141</v>
      </c>
      <c r="G17" s="151"/>
      <c r="H17" s="152"/>
      <c r="I17" s="153"/>
    </row>
    <row r="18">
      <c r="B18" s="207">
        <v>6.0</v>
      </c>
      <c r="C18" s="194" t="s">
        <v>892</v>
      </c>
      <c r="D18" s="189"/>
      <c r="E18" s="54"/>
      <c r="F18" s="151" t="s">
        <v>141</v>
      </c>
      <c r="G18" s="151"/>
      <c r="H18" s="152"/>
      <c r="I18" s="153"/>
    </row>
    <row r="19">
      <c r="B19" s="210">
        <v>7.0</v>
      </c>
      <c r="C19" s="202" t="s">
        <v>893</v>
      </c>
      <c r="D19" s="189"/>
      <c r="E19" s="211"/>
      <c r="F19" s="151" t="s">
        <v>141</v>
      </c>
      <c r="G19" s="151"/>
      <c r="H19" s="152"/>
      <c r="I19" s="153"/>
    </row>
    <row r="20">
      <c r="B20" s="210">
        <v>8.0</v>
      </c>
      <c r="C20" s="194" t="s">
        <v>894</v>
      </c>
      <c r="D20" s="189"/>
      <c r="E20" s="54"/>
      <c r="F20" s="151" t="s">
        <v>141</v>
      </c>
      <c r="G20" s="151"/>
      <c r="H20" s="152"/>
      <c r="I20" s="153"/>
    </row>
    <row r="21" ht="15.75" customHeight="1">
      <c r="B21" s="210">
        <v>9.0</v>
      </c>
      <c r="C21" s="203" t="s">
        <v>895</v>
      </c>
      <c r="D21" s="189"/>
      <c r="E21" s="54"/>
      <c r="F21" s="151" t="s">
        <v>141</v>
      </c>
      <c r="G21" s="151"/>
      <c r="H21" s="152"/>
      <c r="I21" s="153"/>
    </row>
    <row r="22" ht="15.75" customHeight="1">
      <c r="B22" s="210">
        <v>10.0</v>
      </c>
      <c r="C22" s="203" t="s">
        <v>896</v>
      </c>
      <c r="D22" s="189"/>
      <c r="E22" s="54"/>
      <c r="F22" s="151" t="s">
        <v>141</v>
      </c>
      <c r="G22" s="151"/>
      <c r="H22" s="152"/>
      <c r="I22" s="153"/>
    </row>
    <row r="23" ht="15.75" customHeight="1">
      <c r="B23" s="207">
        <v>11.0</v>
      </c>
      <c r="C23" s="194" t="s">
        <v>897</v>
      </c>
      <c r="D23" s="189"/>
      <c r="E23" s="54"/>
      <c r="F23" s="151" t="s">
        <v>141</v>
      </c>
      <c r="G23" s="151"/>
      <c r="H23" s="152"/>
      <c r="I23" s="153"/>
    </row>
    <row r="24" ht="15.75" customHeight="1">
      <c r="B24" s="210">
        <v>12.0</v>
      </c>
      <c r="C24" s="202" t="s">
        <v>898</v>
      </c>
      <c r="D24" s="189"/>
      <c r="E24" s="211"/>
      <c r="F24" s="151" t="s">
        <v>141</v>
      </c>
      <c r="G24" s="151"/>
      <c r="H24" s="152"/>
      <c r="I24" s="153"/>
    </row>
    <row r="25" ht="15.75" customHeight="1">
      <c r="B25" s="210">
        <v>13.0</v>
      </c>
      <c r="C25" s="194" t="s">
        <v>899</v>
      </c>
      <c r="D25" s="189"/>
      <c r="E25" s="54"/>
      <c r="F25" s="151" t="s">
        <v>141</v>
      </c>
      <c r="G25" s="151"/>
      <c r="H25" s="152"/>
      <c r="I25" s="153"/>
    </row>
    <row r="26" ht="15.75" customHeight="1">
      <c r="B26" s="210">
        <v>14.0</v>
      </c>
      <c r="C26" s="203" t="s">
        <v>900</v>
      </c>
      <c r="D26" s="189"/>
      <c r="E26" s="54"/>
      <c r="F26" s="151" t="s">
        <v>141</v>
      </c>
      <c r="G26" s="151"/>
      <c r="H26" s="152"/>
      <c r="I26" s="153"/>
    </row>
    <row r="27" ht="15.75" customHeight="1">
      <c r="B27" s="210">
        <v>15.0</v>
      </c>
      <c r="C27" s="203" t="s">
        <v>901</v>
      </c>
      <c r="D27" s="189"/>
      <c r="E27" s="54"/>
      <c r="F27" s="151" t="s">
        <v>141</v>
      </c>
      <c r="G27" s="151"/>
      <c r="H27" s="152"/>
      <c r="I27" s="153"/>
    </row>
    <row r="28" ht="15.75" customHeight="1">
      <c r="B28" s="207">
        <v>16.0</v>
      </c>
      <c r="C28" s="194" t="s">
        <v>902</v>
      </c>
      <c r="D28" s="189"/>
      <c r="E28" s="54"/>
      <c r="F28" s="151" t="s">
        <v>141</v>
      </c>
      <c r="G28" s="151"/>
      <c r="H28" s="152"/>
      <c r="I28" s="153"/>
    </row>
    <row r="29" ht="15.75" customHeight="1">
      <c r="B29" s="210">
        <v>17.0</v>
      </c>
      <c r="C29" s="202" t="s">
        <v>903</v>
      </c>
      <c r="D29" s="189"/>
      <c r="E29" s="211"/>
      <c r="F29" s="151" t="s">
        <v>141</v>
      </c>
      <c r="G29" s="151"/>
      <c r="H29" s="152"/>
      <c r="I29" s="153"/>
    </row>
    <row r="30" ht="15.75" customHeight="1">
      <c r="B30" s="210">
        <v>18.0</v>
      </c>
      <c r="C30" s="194" t="s">
        <v>904</v>
      </c>
      <c r="D30" s="189"/>
      <c r="E30" s="54"/>
      <c r="F30" s="151" t="s">
        <v>141</v>
      </c>
      <c r="G30" s="151"/>
      <c r="H30" s="152"/>
      <c r="I30" s="153"/>
    </row>
    <row r="31" ht="15.75" customHeight="1">
      <c r="B31" s="210">
        <v>19.0</v>
      </c>
      <c r="C31" s="203" t="s">
        <v>905</v>
      </c>
      <c r="D31" s="189"/>
      <c r="E31" s="54"/>
      <c r="F31" s="151" t="s">
        <v>141</v>
      </c>
      <c r="G31" s="151"/>
      <c r="H31" s="152"/>
      <c r="I31" s="153"/>
    </row>
    <row r="32" ht="15.75" customHeight="1">
      <c r="B32" s="210">
        <v>20.0</v>
      </c>
      <c r="C32" s="203" t="s">
        <v>906</v>
      </c>
      <c r="D32" s="189"/>
      <c r="E32" s="54"/>
      <c r="F32" s="151" t="s">
        <v>141</v>
      </c>
      <c r="G32" s="151"/>
      <c r="H32" s="152"/>
      <c r="I32" s="153"/>
    </row>
    <row r="33" ht="15.75" customHeight="1">
      <c r="B33" s="207">
        <v>21.0</v>
      </c>
      <c r="C33" s="194" t="s">
        <v>907</v>
      </c>
      <c r="D33" s="189"/>
      <c r="E33" s="54"/>
      <c r="F33" s="151" t="s">
        <v>141</v>
      </c>
      <c r="G33" s="151"/>
      <c r="H33" s="152"/>
      <c r="I33" s="153"/>
    </row>
    <row r="34" ht="15.75" customHeight="1">
      <c r="B34" s="210">
        <v>22.0</v>
      </c>
      <c r="C34" s="202" t="s">
        <v>908</v>
      </c>
      <c r="D34" s="189"/>
      <c r="E34" s="211"/>
      <c r="F34" s="151" t="s">
        <v>141</v>
      </c>
      <c r="G34" s="151"/>
      <c r="H34" s="152"/>
      <c r="I34" s="153"/>
    </row>
    <row r="35" ht="15.75" customHeight="1">
      <c r="B35" s="210">
        <v>23.0</v>
      </c>
      <c r="C35" s="194" t="s">
        <v>909</v>
      </c>
      <c r="D35" s="189"/>
      <c r="E35" s="54"/>
      <c r="F35" s="151" t="s">
        <v>141</v>
      </c>
      <c r="G35" s="151"/>
      <c r="H35" s="152"/>
      <c r="I35" s="153"/>
    </row>
    <row r="36" ht="15.75" customHeight="1">
      <c r="B36" s="210">
        <v>24.0</v>
      </c>
      <c r="C36" s="203" t="s">
        <v>910</v>
      </c>
      <c r="D36" s="189"/>
      <c r="E36" s="54"/>
      <c r="F36" s="151" t="s">
        <v>141</v>
      </c>
      <c r="G36" s="151"/>
      <c r="H36" s="152"/>
      <c r="I36" s="153"/>
    </row>
    <row r="37" ht="15.75" customHeight="1">
      <c r="B37" s="210">
        <v>25.0</v>
      </c>
      <c r="C37" s="203" t="s">
        <v>911</v>
      </c>
      <c r="D37" s="189"/>
      <c r="E37" s="54"/>
      <c r="F37" s="151" t="s">
        <v>141</v>
      </c>
      <c r="G37" s="151"/>
      <c r="H37" s="152"/>
      <c r="I37" s="153"/>
    </row>
    <row r="38" ht="15.75" customHeight="1">
      <c r="B38" s="207">
        <v>26.0</v>
      </c>
      <c r="C38" s="194" t="s">
        <v>912</v>
      </c>
      <c r="D38" s="189"/>
      <c r="E38" s="54"/>
      <c r="F38" s="151" t="s">
        <v>141</v>
      </c>
      <c r="G38" s="151"/>
      <c r="H38" s="152"/>
      <c r="I38" s="153"/>
    </row>
    <row r="39" ht="15.75" customHeight="1">
      <c r="B39" s="210">
        <v>27.0</v>
      </c>
      <c r="C39" s="202" t="s">
        <v>913</v>
      </c>
      <c r="D39" s="189"/>
      <c r="E39" s="211"/>
      <c r="F39" s="151" t="s">
        <v>141</v>
      </c>
      <c r="G39" s="151"/>
      <c r="H39" s="152"/>
      <c r="I39" s="153"/>
    </row>
    <row r="40" ht="18.75" customHeight="1">
      <c r="B40" s="210">
        <v>28.0</v>
      </c>
      <c r="C40" s="202" t="s">
        <v>914</v>
      </c>
      <c r="D40" s="189"/>
      <c r="E40" s="211"/>
      <c r="F40" s="151" t="s">
        <v>141</v>
      </c>
      <c r="G40" s="151"/>
      <c r="H40" s="152"/>
      <c r="I40" s="153"/>
    </row>
    <row r="41" ht="18.75" customHeight="1">
      <c r="B41" s="210">
        <v>29.0</v>
      </c>
      <c r="C41" s="202" t="s">
        <v>915</v>
      </c>
      <c r="D41" s="189"/>
      <c r="E41" s="211"/>
      <c r="F41" s="151" t="s">
        <v>141</v>
      </c>
      <c r="G41" s="151"/>
      <c r="H41" s="152"/>
      <c r="I41" s="153"/>
    </row>
    <row r="42" ht="18.75" customHeight="1">
      <c r="B42" s="210">
        <v>30.0</v>
      </c>
      <c r="C42" s="202" t="s">
        <v>916</v>
      </c>
      <c r="D42" s="189"/>
      <c r="E42" s="211"/>
      <c r="F42" s="151" t="s">
        <v>141</v>
      </c>
      <c r="G42" s="151"/>
      <c r="H42" s="152"/>
      <c r="I42" s="153"/>
    </row>
    <row r="43" ht="18.75" customHeight="1">
      <c r="B43" s="210">
        <v>31.0</v>
      </c>
      <c r="C43" s="202" t="s">
        <v>917</v>
      </c>
      <c r="D43" s="189"/>
      <c r="E43" s="211"/>
      <c r="F43" s="151" t="s">
        <v>141</v>
      </c>
      <c r="G43" s="151"/>
      <c r="H43" s="152"/>
      <c r="I43" s="153"/>
    </row>
    <row r="44" ht="18.75" customHeight="1">
      <c r="B44" s="210">
        <v>32.0</v>
      </c>
      <c r="C44" s="202" t="s">
        <v>918</v>
      </c>
      <c r="D44" s="189"/>
      <c r="E44" s="211"/>
      <c r="F44" s="151" t="s">
        <v>141</v>
      </c>
      <c r="G44" s="151"/>
      <c r="H44" s="152"/>
      <c r="I44" s="153"/>
    </row>
    <row r="45" ht="18.75" customHeight="1">
      <c r="B45" s="210">
        <v>33.0</v>
      </c>
      <c r="C45" s="202" t="s">
        <v>919</v>
      </c>
      <c r="D45" s="189"/>
      <c r="E45" s="211"/>
      <c r="F45" s="151" t="s">
        <v>141</v>
      </c>
      <c r="G45" s="151"/>
      <c r="H45" s="152"/>
      <c r="I45" s="153"/>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44:D44"/>
    <mergeCell ref="C45:D45"/>
    <mergeCell ref="C37:D37"/>
    <mergeCell ref="C38:D38"/>
    <mergeCell ref="C39:D39"/>
    <mergeCell ref="C40:D40"/>
    <mergeCell ref="C41:D41"/>
    <mergeCell ref="C42:D42"/>
    <mergeCell ref="C43:D43"/>
  </mergeCells>
  <printOptions/>
  <pageMargins bottom="0.75" footer="0.0" header="0.0" left="0.7" right="0.7" top="0.75"/>
  <pageSetup paperSize="9" orientation="portrait"/>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D1E3"/>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11.43"/>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COUNT(B12:D100)</f>
        <v>12</v>
      </c>
    </row>
    <row r="4">
      <c r="B4" s="33" t="s">
        <v>127</v>
      </c>
      <c r="C4" s="34" t="s">
        <v>128</v>
      </c>
      <c r="K4" s="31" t="s">
        <v>129</v>
      </c>
      <c r="L4" s="32">
        <f>COUNTIF(F12:F100,"X")</f>
        <v>12</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206" t="s">
        <v>920</v>
      </c>
      <c r="C11" s="27"/>
      <c r="D11" s="27"/>
      <c r="E11" s="43"/>
      <c r="F11" s="44" t="s">
        <v>127</v>
      </c>
      <c r="G11" s="45" t="s">
        <v>130</v>
      </c>
      <c r="H11" s="45" t="s">
        <v>132</v>
      </c>
      <c r="I11" s="46"/>
      <c r="J11" s="67"/>
    </row>
    <row r="12" ht="11.25" customHeight="1">
      <c r="C12" s="177"/>
      <c r="F12" s="147"/>
      <c r="G12" s="147"/>
      <c r="H12" s="147"/>
      <c r="I12" s="147"/>
    </row>
    <row r="13">
      <c r="B13" s="207">
        <v>1.0</v>
      </c>
      <c r="C13" s="202" t="s">
        <v>921</v>
      </c>
      <c r="D13" s="189"/>
      <c r="E13" s="54"/>
      <c r="F13" s="151" t="s">
        <v>141</v>
      </c>
      <c r="G13" s="151"/>
      <c r="H13" s="152"/>
      <c r="I13" s="209" t="s">
        <v>922</v>
      </c>
    </row>
    <row r="14">
      <c r="B14" s="210">
        <v>2.0</v>
      </c>
      <c r="C14" s="202" t="s">
        <v>923</v>
      </c>
      <c r="D14" s="189"/>
      <c r="E14" s="211"/>
      <c r="F14" s="151" t="s">
        <v>141</v>
      </c>
      <c r="G14" s="151"/>
      <c r="H14" s="152"/>
      <c r="I14" s="209" t="s">
        <v>702</v>
      </c>
    </row>
    <row r="15">
      <c r="B15" s="210">
        <v>3.0</v>
      </c>
      <c r="C15" s="194" t="s">
        <v>924</v>
      </c>
      <c r="D15" s="189"/>
      <c r="E15" s="54"/>
      <c r="F15" s="151" t="s">
        <v>141</v>
      </c>
      <c r="G15" s="151"/>
      <c r="H15" s="152"/>
      <c r="I15" s="209" t="s">
        <v>702</v>
      </c>
    </row>
    <row r="16">
      <c r="B16" s="210">
        <v>4.0</v>
      </c>
      <c r="C16" s="203" t="s">
        <v>925</v>
      </c>
      <c r="D16" s="189"/>
      <c r="E16" s="54"/>
      <c r="F16" s="151" t="s">
        <v>141</v>
      </c>
      <c r="G16" s="212" t="s">
        <v>141</v>
      </c>
      <c r="H16" s="152"/>
      <c r="I16" s="209" t="s">
        <v>926</v>
      </c>
    </row>
    <row r="17">
      <c r="B17" s="210">
        <v>5.0</v>
      </c>
      <c r="C17" s="203" t="s">
        <v>927</v>
      </c>
      <c r="D17" s="189"/>
      <c r="E17" s="54"/>
      <c r="F17" s="151" t="s">
        <v>141</v>
      </c>
      <c r="G17" s="151"/>
      <c r="H17" s="152"/>
      <c r="I17" s="209" t="s">
        <v>702</v>
      </c>
    </row>
    <row r="18">
      <c r="B18" s="210">
        <v>6.0</v>
      </c>
      <c r="C18" s="203" t="s">
        <v>928</v>
      </c>
      <c r="D18" s="189"/>
      <c r="E18" s="54"/>
      <c r="F18" s="151" t="s">
        <v>141</v>
      </c>
      <c r="G18" s="212" t="s">
        <v>141</v>
      </c>
      <c r="H18" s="152"/>
      <c r="I18" s="209" t="s">
        <v>929</v>
      </c>
    </row>
    <row r="19">
      <c r="B19" s="210">
        <v>7.0</v>
      </c>
      <c r="C19" s="202" t="s">
        <v>930</v>
      </c>
      <c r="D19" s="189"/>
      <c r="E19" s="54"/>
      <c r="F19" s="151" t="s">
        <v>141</v>
      </c>
      <c r="G19" s="151"/>
      <c r="H19" s="152"/>
      <c r="I19" s="209" t="s">
        <v>702</v>
      </c>
    </row>
    <row r="20">
      <c r="B20" s="210">
        <v>8.0</v>
      </c>
      <c r="C20" s="202" t="s">
        <v>931</v>
      </c>
      <c r="D20" s="189"/>
      <c r="F20" s="151" t="s">
        <v>141</v>
      </c>
      <c r="G20" s="151"/>
      <c r="H20" s="152"/>
      <c r="I20" s="209" t="s">
        <v>702</v>
      </c>
    </row>
    <row r="21" ht="15.75" customHeight="1">
      <c r="B21" s="210">
        <v>9.0</v>
      </c>
      <c r="C21" s="194" t="s">
        <v>932</v>
      </c>
      <c r="D21" s="189"/>
      <c r="F21" s="151" t="s">
        <v>141</v>
      </c>
      <c r="G21" s="151"/>
      <c r="H21" s="152"/>
      <c r="I21" s="209" t="s">
        <v>702</v>
      </c>
    </row>
    <row r="22" ht="15.75" customHeight="1">
      <c r="B22" s="210">
        <v>10.0</v>
      </c>
      <c r="C22" s="202" t="s">
        <v>933</v>
      </c>
      <c r="D22" s="189"/>
      <c r="F22" s="151" t="s">
        <v>141</v>
      </c>
      <c r="G22" s="151"/>
      <c r="H22" s="152"/>
      <c r="I22" s="209" t="s">
        <v>934</v>
      </c>
    </row>
    <row r="23" ht="18.75" customHeight="1">
      <c r="B23" s="210">
        <v>11.0</v>
      </c>
      <c r="C23" s="202" t="s">
        <v>874</v>
      </c>
      <c r="D23" s="189"/>
      <c r="F23" s="151" t="s">
        <v>141</v>
      </c>
      <c r="G23" s="151"/>
      <c r="H23" s="152"/>
      <c r="I23" s="209" t="s">
        <v>702</v>
      </c>
    </row>
    <row r="24">
      <c r="B24" s="210">
        <v>12.0</v>
      </c>
      <c r="C24" s="202" t="s">
        <v>876</v>
      </c>
      <c r="D24" s="189"/>
      <c r="F24" s="151" t="s">
        <v>141</v>
      </c>
      <c r="G24" s="212" t="s">
        <v>141</v>
      </c>
      <c r="H24" s="152"/>
      <c r="I24" s="209" t="s">
        <v>935</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23:D23"/>
    <mergeCell ref="C24:D24"/>
    <mergeCell ref="C16:D16"/>
    <mergeCell ref="C17:D17"/>
    <mergeCell ref="C18:D18"/>
    <mergeCell ref="C19:D19"/>
    <mergeCell ref="C20:D20"/>
    <mergeCell ref="C21:D21"/>
    <mergeCell ref="C22:D22"/>
  </mergeCells>
  <printOptions/>
  <pageMargins bottom="0.75" footer="0.0" header="0.0" left="0.7" right="0.7" top="0.75"/>
  <pageSetup paperSize="9" orientation="portrait"/>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D1E3"/>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11.43"/>
    <col customWidth="1" min="11" max="11" width="14.14"/>
    <col customWidth="1" min="12" max="26" width="11.43"/>
  </cols>
  <sheetData>
    <row r="2" ht="21.75" customHeight="1">
      <c r="B2" s="26" t="s">
        <v>124</v>
      </c>
      <c r="C2" s="27"/>
      <c r="D2" s="27"/>
      <c r="E2" s="27"/>
      <c r="F2" s="27"/>
      <c r="G2" s="27"/>
      <c r="H2" s="27"/>
      <c r="I2" s="27"/>
      <c r="K2" s="206" t="s">
        <v>125</v>
      </c>
      <c r="L2" s="27"/>
    </row>
    <row r="3" ht="15.0" customHeight="1">
      <c r="K3" s="31" t="s">
        <v>126</v>
      </c>
      <c r="L3" s="32">
        <f>COUNT(B12:D100)</f>
        <v>36</v>
      </c>
    </row>
    <row r="4">
      <c r="B4" s="33" t="s">
        <v>127</v>
      </c>
      <c r="C4" s="34" t="s">
        <v>128</v>
      </c>
      <c r="K4" s="31" t="s">
        <v>129</v>
      </c>
      <c r="L4" s="32">
        <f>COUNTIF(F12:F100,"X")</f>
        <v>36</v>
      </c>
    </row>
    <row r="5">
      <c r="B5" s="33" t="s">
        <v>130</v>
      </c>
      <c r="C5" s="34" t="s">
        <v>131</v>
      </c>
      <c r="K5" s="31" t="s">
        <v>134</v>
      </c>
      <c r="L5" s="35"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206" t="s">
        <v>936</v>
      </c>
      <c r="C11" s="27"/>
      <c r="D11" s="27"/>
      <c r="E11" s="43"/>
      <c r="F11" s="44" t="s">
        <v>127</v>
      </c>
      <c r="G11" s="45" t="s">
        <v>130</v>
      </c>
      <c r="H11" s="45" t="s">
        <v>132</v>
      </c>
      <c r="I11" s="46"/>
      <c r="J11" s="67"/>
    </row>
    <row r="12" ht="11.25" customHeight="1">
      <c r="C12" s="177"/>
      <c r="F12" s="147"/>
      <c r="G12" s="147"/>
      <c r="H12" s="147"/>
      <c r="I12" s="147"/>
    </row>
    <row r="13">
      <c r="B13" s="207">
        <v>1.0</v>
      </c>
      <c r="C13" s="194" t="s">
        <v>937</v>
      </c>
      <c r="D13" s="189"/>
      <c r="E13" s="54"/>
      <c r="F13" s="151" t="s">
        <v>141</v>
      </c>
      <c r="G13" s="151"/>
      <c r="H13" s="152"/>
      <c r="I13" s="153"/>
    </row>
    <row r="14">
      <c r="B14" s="210">
        <v>2.0</v>
      </c>
      <c r="C14" s="202" t="s">
        <v>938</v>
      </c>
      <c r="D14" s="189"/>
      <c r="E14" s="211"/>
      <c r="F14" s="151" t="s">
        <v>141</v>
      </c>
      <c r="G14" s="151"/>
      <c r="H14" s="152"/>
      <c r="I14" s="153"/>
    </row>
    <row r="15">
      <c r="B15" s="210">
        <v>3.0</v>
      </c>
      <c r="C15" s="194" t="s">
        <v>939</v>
      </c>
      <c r="D15" s="189"/>
      <c r="E15" s="54"/>
      <c r="F15" s="151" t="s">
        <v>141</v>
      </c>
      <c r="G15" s="151"/>
      <c r="H15" s="152"/>
      <c r="I15" s="153"/>
    </row>
    <row r="16">
      <c r="B16" s="210">
        <v>4.0</v>
      </c>
      <c r="C16" s="203" t="s">
        <v>940</v>
      </c>
      <c r="D16" s="189"/>
      <c r="E16" s="54"/>
      <c r="F16" s="151" t="s">
        <v>141</v>
      </c>
      <c r="G16" s="151"/>
      <c r="H16" s="152"/>
      <c r="I16" s="153"/>
    </row>
    <row r="17">
      <c r="B17" s="210">
        <v>5.0</v>
      </c>
      <c r="C17" s="203" t="s">
        <v>941</v>
      </c>
      <c r="D17" s="189"/>
      <c r="E17" s="54"/>
      <c r="F17" s="151" t="s">
        <v>141</v>
      </c>
      <c r="G17" s="151"/>
      <c r="H17" s="152"/>
      <c r="I17" s="153"/>
    </row>
    <row r="18" ht="18.75" customHeight="1">
      <c r="B18" s="207">
        <v>6.0</v>
      </c>
      <c r="C18" s="194" t="s">
        <v>942</v>
      </c>
      <c r="D18" s="189"/>
      <c r="E18" s="54"/>
      <c r="F18" s="151" t="s">
        <v>141</v>
      </c>
      <c r="G18" s="151"/>
      <c r="H18" s="152"/>
      <c r="I18" s="153"/>
    </row>
    <row r="19" ht="18.75" customHeight="1">
      <c r="B19" s="210">
        <v>7.0</v>
      </c>
      <c r="C19" s="202" t="s">
        <v>943</v>
      </c>
      <c r="D19" s="189"/>
      <c r="E19" s="211"/>
      <c r="F19" s="151" t="s">
        <v>141</v>
      </c>
      <c r="G19" s="151"/>
      <c r="H19" s="152"/>
      <c r="I19" s="153"/>
    </row>
    <row r="20" ht="18.75" customHeight="1">
      <c r="B20" s="210">
        <v>8.0</v>
      </c>
      <c r="C20" s="194" t="s">
        <v>944</v>
      </c>
      <c r="D20" s="189"/>
      <c r="E20" s="54"/>
      <c r="F20" s="151" t="s">
        <v>141</v>
      </c>
      <c r="G20" s="151"/>
      <c r="H20" s="152"/>
      <c r="I20" s="153"/>
    </row>
    <row r="21" ht="18.75" customHeight="1">
      <c r="B21" s="210">
        <v>9.0</v>
      </c>
      <c r="C21" s="203" t="s">
        <v>945</v>
      </c>
      <c r="D21" s="189"/>
      <c r="E21" s="54"/>
      <c r="F21" s="151" t="s">
        <v>141</v>
      </c>
      <c r="G21" s="151"/>
      <c r="H21" s="152"/>
      <c r="I21" s="153"/>
    </row>
    <row r="22" ht="18.75" customHeight="1">
      <c r="B22" s="210">
        <v>10.0</v>
      </c>
      <c r="C22" s="203" t="s">
        <v>946</v>
      </c>
      <c r="D22" s="189"/>
      <c r="E22" s="54"/>
      <c r="F22" s="151" t="s">
        <v>141</v>
      </c>
      <c r="G22" s="151"/>
      <c r="H22" s="152"/>
      <c r="I22" s="153"/>
    </row>
    <row r="23" ht="18.75" customHeight="1">
      <c r="B23" s="207">
        <v>11.0</v>
      </c>
      <c r="C23" s="194" t="s">
        <v>947</v>
      </c>
      <c r="D23" s="189"/>
      <c r="E23" s="54"/>
      <c r="F23" s="151" t="s">
        <v>141</v>
      </c>
      <c r="G23" s="151"/>
      <c r="H23" s="152"/>
      <c r="I23" s="153"/>
    </row>
    <row r="24" ht="18.75" customHeight="1">
      <c r="B24" s="210">
        <v>12.0</v>
      </c>
      <c r="C24" s="202" t="s">
        <v>948</v>
      </c>
      <c r="D24" s="189"/>
      <c r="E24" s="211"/>
      <c r="F24" s="151" t="s">
        <v>141</v>
      </c>
      <c r="G24" s="151"/>
      <c r="H24" s="152"/>
      <c r="I24" s="153"/>
    </row>
    <row r="25" ht="18.75" customHeight="1">
      <c r="B25" s="210">
        <v>13.0</v>
      </c>
      <c r="C25" s="194" t="s">
        <v>838</v>
      </c>
      <c r="D25" s="189"/>
      <c r="E25" s="54"/>
      <c r="F25" s="151" t="s">
        <v>141</v>
      </c>
      <c r="G25" s="151"/>
      <c r="H25" s="152"/>
      <c r="I25" s="153"/>
    </row>
    <row r="26" ht="18.75" customHeight="1">
      <c r="B26" s="210">
        <v>14.0</v>
      </c>
      <c r="C26" s="203" t="s">
        <v>839</v>
      </c>
      <c r="D26" s="189"/>
      <c r="E26" s="54"/>
      <c r="F26" s="151" t="s">
        <v>141</v>
      </c>
      <c r="G26" s="151"/>
      <c r="H26" s="152"/>
      <c r="I26" s="153"/>
    </row>
    <row r="27" ht="18.75" customHeight="1">
      <c r="B27" s="210">
        <v>15.0</v>
      </c>
      <c r="C27" s="203" t="s">
        <v>840</v>
      </c>
      <c r="D27" s="189"/>
      <c r="E27" s="54"/>
      <c r="F27" s="151" t="s">
        <v>141</v>
      </c>
      <c r="G27" s="151"/>
      <c r="H27" s="152"/>
      <c r="I27" s="153"/>
    </row>
    <row r="28" ht="18.75" customHeight="1">
      <c r="B28" s="207">
        <v>16.0</v>
      </c>
      <c r="C28" s="194" t="s">
        <v>723</v>
      </c>
      <c r="D28" s="189"/>
      <c r="E28" s="54"/>
      <c r="F28" s="151" t="s">
        <v>141</v>
      </c>
      <c r="G28" s="151"/>
      <c r="H28" s="152"/>
      <c r="I28" s="153"/>
    </row>
    <row r="29" ht="18.75" customHeight="1">
      <c r="B29" s="210">
        <v>17.0</v>
      </c>
      <c r="C29" s="202" t="s">
        <v>724</v>
      </c>
      <c r="D29" s="189"/>
      <c r="E29" s="211"/>
      <c r="F29" s="151" t="s">
        <v>141</v>
      </c>
      <c r="G29" s="151"/>
      <c r="H29" s="152"/>
      <c r="I29" s="153"/>
    </row>
    <row r="30" ht="18.75" customHeight="1">
      <c r="B30" s="210">
        <v>18.0</v>
      </c>
      <c r="C30" s="194" t="s">
        <v>725</v>
      </c>
      <c r="D30" s="189"/>
      <c r="E30" s="54"/>
      <c r="F30" s="151" t="s">
        <v>141</v>
      </c>
      <c r="G30" s="151"/>
      <c r="H30" s="152"/>
      <c r="I30" s="153"/>
    </row>
    <row r="31" ht="18.75" customHeight="1">
      <c r="B31" s="210">
        <v>19.0</v>
      </c>
      <c r="C31" s="203" t="s">
        <v>726</v>
      </c>
      <c r="D31" s="189"/>
      <c r="E31" s="54"/>
      <c r="F31" s="151" t="s">
        <v>141</v>
      </c>
      <c r="G31" s="151"/>
      <c r="H31" s="152"/>
      <c r="I31" s="153"/>
    </row>
    <row r="32" ht="18.75" customHeight="1">
      <c r="B32" s="210">
        <v>20.0</v>
      </c>
      <c r="C32" s="203" t="s">
        <v>727</v>
      </c>
      <c r="D32" s="189"/>
      <c r="E32" s="54"/>
      <c r="F32" s="151" t="s">
        <v>141</v>
      </c>
      <c r="G32" s="151"/>
      <c r="H32" s="152"/>
      <c r="I32" s="153"/>
    </row>
    <row r="33" ht="18.75" customHeight="1">
      <c r="B33" s="207">
        <v>21.0</v>
      </c>
      <c r="C33" s="194" t="s">
        <v>728</v>
      </c>
      <c r="D33" s="189"/>
      <c r="E33" s="54"/>
      <c r="F33" s="151" t="s">
        <v>141</v>
      </c>
      <c r="G33" s="151"/>
      <c r="H33" s="152"/>
      <c r="I33" s="153"/>
    </row>
    <row r="34" ht="18.75" customHeight="1">
      <c r="B34" s="210">
        <v>22.0</v>
      </c>
      <c r="C34" s="202" t="s">
        <v>729</v>
      </c>
      <c r="D34" s="189"/>
      <c r="E34" s="211"/>
      <c r="F34" s="151" t="s">
        <v>141</v>
      </c>
      <c r="G34" s="151"/>
      <c r="H34" s="152"/>
      <c r="I34" s="153"/>
    </row>
    <row r="35" ht="18.75" customHeight="1">
      <c r="B35" s="210">
        <v>23.0</v>
      </c>
      <c r="C35" s="194" t="s">
        <v>730</v>
      </c>
      <c r="D35" s="189"/>
      <c r="E35" s="54"/>
      <c r="F35" s="151" t="s">
        <v>141</v>
      </c>
      <c r="G35" s="151"/>
      <c r="H35" s="152"/>
      <c r="I35" s="153"/>
    </row>
    <row r="36" ht="18.75" customHeight="1">
      <c r="B36" s="210">
        <v>24.0</v>
      </c>
      <c r="C36" s="203" t="s">
        <v>731</v>
      </c>
      <c r="D36" s="189"/>
      <c r="E36" s="54"/>
      <c r="F36" s="151" t="s">
        <v>141</v>
      </c>
      <c r="G36" s="151"/>
      <c r="H36" s="152"/>
      <c r="I36" s="153"/>
    </row>
    <row r="37" ht="18.75" customHeight="1">
      <c r="B37" s="210">
        <v>25.0</v>
      </c>
      <c r="C37" s="203" t="s">
        <v>732</v>
      </c>
      <c r="D37" s="189"/>
      <c r="E37" s="54"/>
      <c r="F37" s="151" t="s">
        <v>141</v>
      </c>
      <c r="G37" s="151"/>
      <c r="H37" s="152"/>
      <c r="I37" s="153"/>
    </row>
    <row r="38" ht="18.75" customHeight="1">
      <c r="B38" s="207">
        <v>26.0</v>
      </c>
      <c r="C38" s="194" t="s">
        <v>733</v>
      </c>
      <c r="D38" s="189"/>
      <c r="E38" s="54"/>
      <c r="F38" s="151" t="s">
        <v>141</v>
      </c>
      <c r="G38" s="151"/>
      <c r="H38" s="152"/>
      <c r="I38" s="153"/>
    </row>
    <row r="39" ht="18.75" customHeight="1">
      <c r="B39" s="210">
        <v>27.0</v>
      </c>
      <c r="C39" s="202" t="s">
        <v>734</v>
      </c>
      <c r="D39" s="189"/>
      <c r="E39" s="211"/>
      <c r="F39" s="151" t="s">
        <v>141</v>
      </c>
      <c r="G39" s="151"/>
      <c r="H39" s="152"/>
      <c r="I39" s="153"/>
    </row>
    <row r="40" ht="18.75" customHeight="1">
      <c r="B40" s="210">
        <v>28.0</v>
      </c>
      <c r="C40" s="194" t="s">
        <v>735</v>
      </c>
      <c r="D40" s="189"/>
      <c r="E40" s="54"/>
      <c r="F40" s="151" t="s">
        <v>141</v>
      </c>
      <c r="G40" s="151"/>
      <c r="H40" s="152"/>
      <c r="I40" s="153"/>
    </row>
    <row r="41" ht="18.75" customHeight="1">
      <c r="B41" s="210">
        <v>29.0</v>
      </c>
      <c r="C41" s="203" t="s">
        <v>736</v>
      </c>
      <c r="D41" s="189"/>
      <c r="E41" s="54"/>
      <c r="F41" s="151" t="s">
        <v>141</v>
      </c>
      <c r="G41" s="151"/>
      <c r="H41" s="152"/>
      <c r="I41" s="153"/>
    </row>
    <row r="42" ht="18.75" customHeight="1">
      <c r="B42" s="210">
        <v>30.0</v>
      </c>
      <c r="C42" s="203" t="s">
        <v>737</v>
      </c>
      <c r="D42" s="189"/>
      <c r="E42" s="54"/>
      <c r="F42" s="151" t="s">
        <v>141</v>
      </c>
      <c r="G42" s="151"/>
      <c r="H42" s="152"/>
      <c r="I42" s="153"/>
    </row>
    <row r="43" ht="18.75" customHeight="1">
      <c r="B43" s="207">
        <v>31.0</v>
      </c>
      <c r="C43" s="194" t="s">
        <v>738</v>
      </c>
      <c r="D43" s="189"/>
      <c r="E43" s="54"/>
      <c r="F43" s="151" t="s">
        <v>141</v>
      </c>
      <c r="G43" s="151"/>
      <c r="H43" s="152"/>
      <c r="I43" s="153"/>
    </row>
    <row r="44" ht="18.75" customHeight="1">
      <c r="B44" s="210">
        <v>32.0</v>
      </c>
      <c r="C44" s="202" t="s">
        <v>739</v>
      </c>
      <c r="D44" s="189"/>
      <c r="E44" s="211"/>
      <c r="F44" s="151" t="s">
        <v>141</v>
      </c>
      <c r="G44" s="151"/>
      <c r="H44" s="152"/>
      <c r="I44" s="153"/>
    </row>
    <row r="45" ht="18.75" customHeight="1">
      <c r="B45" s="210">
        <v>33.0</v>
      </c>
      <c r="C45" s="194" t="s">
        <v>740</v>
      </c>
      <c r="D45" s="189"/>
      <c r="E45" s="54"/>
      <c r="F45" s="151" t="s">
        <v>141</v>
      </c>
      <c r="G45" s="151"/>
      <c r="H45" s="152"/>
      <c r="I45" s="153"/>
    </row>
    <row r="46" ht="18.75" customHeight="1">
      <c r="B46" s="210">
        <v>34.0</v>
      </c>
      <c r="C46" s="203" t="s">
        <v>741</v>
      </c>
      <c r="D46" s="189"/>
      <c r="E46" s="54"/>
      <c r="F46" s="151" t="s">
        <v>141</v>
      </c>
      <c r="G46" s="151"/>
      <c r="H46" s="152"/>
      <c r="I46" s="153"/>
    </row>
    <row r="47" ht="18.75" customHeight="1">
      <c r="B47" s="210">
        <v>35.0</v>
      </c>
      <c r="C47" s="203" t="s">
        <v>742</v>
      </c>
      <c r="D47" s="189"/>
      <c r="E47" s="54"/>
      <c r="F47" s="151" t="s">
        <v>141</v>
      </c>
      <c r="G47" s="151"/>
      <c r="H47" s="152"/>
      <c r="I47" s="153"/>
    </row>
    <row r="48" ht="18.75" customHeight="1">
      <c r="B48" s="210">
        <v>36.0</v>
      </c>
      <c r="C48" s="203" t="s">
        <v>743</v>
      </c>
      <c r="D48" s="189"/>
      <c r="E48" s="54"/>
      <c r="F48" s="151" t="s">
        <v>141</v>
      </c>
      <c r="G48" s="151"/>
      <c r="H48" s="152"/>
      <c r="I48" s="153"/>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7">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44:D44"/>
    <mergeCell ref="C45:D45"/>
    <mergeCell ref="C46:D46"/>
    <mergeCell ref="C47:D47"/>
    <mergeCell ref="C48:D48"/>
    <mergeCell ref="C37:D37"/>
    <mergeCell ref="C38:D38"/>
    <mergeCell ref="C39:D39"/>
    <mergeCell ref="C40:D40"/>
    <mergeCell ref="C41:D41"/>
    <mergeCell ref="C42:D42"/>
    <mergeCell ref="C43:D43"/>
  </mergeCells>
  <printOptions/>
  <pageMargins bottom="0.75" footer="0.0" header="0.0" left="0.7" right="0.7" top="0.75"/>
  <pageSetup paperSize="9" orientation="portrait"/>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6" width="8.71"/>
  </cols>
  <sheetData>
    <row r="2">
      <c r="A2" s="217" t="s">
        <v>949</v>
      </c>
      <c r="B2" s="132" t="s">
        <v>950</v>
      </c>
    </row>
    <row r="3">
      <c r="A3" s="217" t="s">
        <v>951</v>
      </c>
      <c r="B3" s="218" t="s">
        <v>952</v>
      </c>
      <c r="C3" s="2"/>
      <c r="D3" s="2"/>
      <c r="E3" s="2"/>
      <c r="F3" s="2"/>
      <c r="G3" s="2"/>
      <c r="H3" s="2"/>
      <c r="I3" s="2"/>
      <c r="J3" s="2"/>
      <c r="K3" s="2"/>
      <c r="L3" s="2"/>
      <c r="M3" s="2"/>
      <c r="N3" s="2"/>
      <c r="O3" s="2"/>
      <c r="P3" s="2"/>
      <c r="Q3" s="2"/>
      <c r="R3" s="2"/>
      <c r="S3" s="2"/>
      <c r="T3" s="2"/>
      <c r="U3" s="2"/>
      <c r="V3" s="2"/>
      <c r="W3" s="2"/>
      <c r="X3" s="2"/>
      <c r="Y3" s="2"/>
      <c r="Z3"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c r="E61" s="21" t="s">
        <v>953</v>
      </c>
    </row>
    <row r="62" ht="15.75" customHeight="1">
      <c r="E62" s="21" t="s">
        <v>954</v>
      </c>
    </row>
    <row r="63" ht="15.75" customHeight="1">
      <c r="E63" s="21" t="s">
        <v>955</v>
      </c>
    </row>
    <row r="64" ht="15.75" customHeight="1">
      <c r="E64" s="21" t="s">
        <v>956</v>
      </c>
    </row>
    <row r="65" ht="15.75" customHeight="1">
      <c r="E65" s="21" t="s">
        <v>957</v>
      </c>
    </row>
    <row r="66" ht="15.75" customHeight="1">
      <c r="E66" s="21" t="s">
        <v>958</v>
      </c>
    </row>
    <row r="67" ht="15.75" customHeight="1">
      <c r="E67" s="21" t="s">
        <v>959</v>
      </c>
    </row>
    <row r="68" ht="15.75" customHeight="1">
      <c r="E68" s="21" t="s">
        <v>960</v>
      </c>
    </row>
    <row r="69" ht="15.75" customHeight="1">
      <c r="E69" s="21" t="s">
        <v>961</v>
      </c>
    </row>
    <row r="70" ht="15.75" customHeight="1">
      <c r="E70" s="21" t="s">
        <v>962</v>
      </c>
    </row>
    <row r="71" ht="15.75" customHeight="1">
      <c r="E71" s="21" t="s">
        <v>963</v>
      </c>
    </row>
    <row r="72" ht="15.75" customHeight="1">
      <c r="E72" s="21" t="s">
        <v>964</v>
      </c>
    </row>
    <row r="73" ht="15.75" customHeight="1">
      <c r="E73" s="21" t="s">
        <v>965</v>
      </c>
    </row>
    <row r="74" ht="15.75" customHeight="1">
      <c r="E74" s="21" t="s">
        <v>966</v>
      </c>
    </row>
    <row r="75" ht="15.75" customHeight="1">
      <c r="E75" s="21" t="s">
        <v>967</v>
      </c>
    </row>
    <row r="76" ht="15.75" customHeight="1">
      <c r="E76" s="21" t="s">
        <v>968</v>
      </c>
    </row>
    <row r="77" ht="15.75" customHeight="1">
      <c r="E77" s="21" t="s">
        <v>969</v>
      </c>
    </row>
    <row r="78" ht="15.75" customHeight="1">
      <c r="E78" s="21" t="s">
        <v>970</v>
      </c>
    </row>
    <row r="79" ht="15.75" customHeight="1">
      <c r="E79" s="21" t="s">
        <v>971</v>
      </c>
    </row>
    <row r="80" ht="15.75" customHeight="1">
      <c r="E80" s="21" t="s">
        <v>972</v>
      </c>
    </row>
    <row r="81" ht="15.75" customHeight="1">
      <c r="E81" s="21" t="s">
        <v>973</v>
      </c>
    </row>
    <row r="82" ht="15.75" customHeight="1">
      <c r="E82" s="21" t="s">
        <v>974</v>
      </c>
    </row>
    <row r="83" ht="15.75" customHeight="1">
      <c r="E83" s="21" t="s">
        <v>975</v>
      </c>
    </row>
    <row r="84" ht="15.75" customHeight="1">
      <c r="E84" s="21" t="s">
        <v>976</v>
      </c>
    </row>
    <row r="85" ht="15.75" customHeight="1">
      <c r="E85" s="21" t="s">
        <v>977</v>
      </c>
    </row>
    <row r="86" ht="15.75" customHeight="1">
      <c r="E86" s="21" t="s">
        <v>978</v>
      </c>
    </row>
    <row r="87" ht="15.75" customHeight="1">
      <c r="E87" s="21" t="s">
        <v>979</v>
      </c>
    </row>
    <row r="88" ht="15.75" customHeight="1">
      <c r="E88" s="21" t="s">
        <v>980</v>
      </c>
    </row>
    <row r="89" ht="15.75" customHeight="1">
      <c r="E89" s="21" t="s">
        <v>981</v>
      </c>
    </row>
    <row r="90" ht="15.75" customHeight="1">
      <c r="E90" s="21" t="s">
        <v>982</v>
      </c>
    </row>
    <row r="91" ht="15.75" customHeight="1">
      <c r="E91" s="21" t="s">
        <v>983</v>
      </c>
    </row>
    <row r="92" ht="15.75" customHeight="1">
      <c r="E92" s="21" t="s">
        <v>984</v>
      </c>
    </row>
    <row r="93" ht="15.75" customHeight="1">
      <c r="E93" s="21" t="s">
        <v>985</v>
      </c>
    </row>
    <row r="94" ht="15.75" customHeight="1">
      <c r="E94" s="21" t="s">
        <v>986</v>
      </c>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11.43"/>
    <col customWidth="1" min="11" max="11" width="14.14"/>
    <col customWidth="1" min="12" max="26" width="11.43"/>
  </cols>
  <sheetData>
    <row r="2" ht="21.75" customHeight="1">
      <c r="B2" s="26" t="s">
        <v>124</v>
      </c>
      <c r="C2" s="27"/>
      <c r="D2" s="27"/>
      <c r="E2" s="27"/>
      <c r="F2" s="27"/>
      <c r="G2" s="27"/>
      <c r="H2" s="27"/>
      <c r="I2" s="27"/>
      <c r="K2" s="172" t="s">
        <v>125</v>
      </c>
      <c r="L2" s="29"/>
    </row>
    <row r="3" ht="15.0" customHeight="1">
      <c r="K3" s="31" t="s">
        <v>126</v>
      </c>
      <c r="L3" s="32">
        <f>COUNT(B12:D96)</f>
        <v>10</v>
      </c>
    </row>
    <row r="4">
      <c r="B4" s="33" t="s">
        <v>127</v>
      </c>
      <c r="C4" s="34" t="str">
        <f>COUNTIF('No-funcionales generales'!F12:F46,"x")+COUNTIF('Funcionales generales'!F12,"x")+COUNTIF(#REF!,"x")+COUNTIF(#REF!,"x")+COUNTIF('Funcionales Homepage'!F12:F20,"x")+COUNTIF('No-funcionales Homepage'!F12:F16,"x")+COUNTIF('Funcionales Productos'!F13:F21,"x")+COUNTIF('No-funcionales Productos'!F13:F17,"x")+COUNTIF('Funcionales Producto'!F13:F22,"x")+COUNTIF('No-funcionales Producto'!F13:F17,"x")+COUNTIF('Funcionales Carrito'!F13:F21,"x")+_xleta.COUNTIF</f>
        <v>#REF!</v>
      </c>
      <c r="K4" s="31" t="s">
        <v>129</v>
      </c>
      <c r="L4" s="32">
        <f>COUNTIF(F12:F96,"X")</f>
        <v>10</v>
      </c>
    </row>
    <row r="5">
      <c r="B5" s="33" t="s">
        <v>130</v>
      </c>
      <c r="C5" s="34" t="s">
        <v>131</v>
      </c>
      <c r="K5" s="31" t="s">
        <v>134</v>
      </c>
      <c r="L5" s="32"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176" t="s">
        <v>987</v>
      </c>
      <c r="C11" s="27"/>
      <c r="D11" s="27"/>
      <c r="E11" s="43"/>
      <c r="F11" s="44" t="s">
        <v>127</v>
      </c>
      <c r="G11" s="45" t="s">
        <v>130</v>
      </c>
      <c r="H11" s="45" t="s">
        <v>132</v>
      </c>
      <c r="I11" s="46"/>
      <c r="J11" s="67"/>
    </row>
    <row r="12" ht="11.25" customHeight="1">
      <c r="C12" s="177"/>
      <c r="F12" s="147"/>
      <c r="G12" s="147"/>
      <c r="H12" s="147"/>
      <c r="I12" s="147"/>
    </row>
    <row r="13" ht="33.0" customHeight="1">
      <c r="B13" s="187">
        <v>1.0</v>
      </c>
      <c r="C13" s="219" t="s">
        <v>988</v>
      </c>
      <c r="D13" s="189"/>
      <c r="E13" s="54"/>
      <c r="F13" s="152" t="s">
        <v>169</v>
      </c>
      <c r="G13" s="179"/>
      <c r="H13" s="179"/>
      <c r="I13" s="209" t="s">
        <v>702</v>
      </c>
    </row>
    <row r="14" ht="44.25" customHeight="1">
      <c r="B14" s="191">
        <v>2.0</v>
      </c>
      <c r="C14" s="220" t="s">
        <v>989</v>
      </c>
      <c r="D14" s="193"/>
      <c r="E14" s="180"/>
      <c r="F14" s="152" t="s">
        <v>169</v>
      </c>
      <c r="G14" s="179"/>
      <c r="H14" s="179"/>
      <c r="I14" s="209" t="s">
        <v>702</v>
      </c>
    </row>
    <row r="15" ht="33.75" customHeight="1">
      <c r="B15" s="191">
        <v>3.0</v>
      </c>
      <c r="C15" s="221" t="s">
        <v>990</v>
      </c>
      <c r="D15" s="198"/>
      <c r="E15" s="54"/>
      <c r="F15" s="152" t="s">
        <v>169</v>
      </c>
      <c r="G15" s="179"/>
      <c r="H15" s="179"/>
      <c r="I15" s="209" t="s">
        <v>991</v>
      </c>
    </row>
    <row r="16" ht="21.75" customHeight="1">
      <c r="B16" s="191">
        <v>4.0</v>
      </c>
      <c r="C16" s="222" t="s">
        <v>992</v>
      </c>
      <c r="D16" s="198"/>
      <c r="E16" s="54"/>
      <c r="F16" s="152" t="s">
        <v>169</v>
      </c>
      <c r="G16" s="179"/>
      <c r="H16" s="179"/>
      <c r="I16" s="209" t="s">
        <v>993</v>
      </c>
    </row>
    <row r="17" ht="38.25" customHeight="1">
      <c r="B17" s="191">
        <v>5.0</v>
      </c>
      <c r="C17" s="223" t="s">
        <v>994</v>
      </c>
      <c r="D17" s="189"/>
      <c r="E17" s="54"/>
      <c r="F17" s="152" t="s">
        <v>169</v>
      </c>
      <c r="G17" s="179"/>
      <c r="H17" s="179"/>
      <c r="I17" s="209" t="s">
        <v>702</v>
      </c>
    </row>
    <row r="18" ht="33.75" customHeight="1">
      <c r="B18" s="191">
        <v>6.0</v>
      </c>
      <c r="C18" s="224" t="s">
        <v>995</v>
      </c>
      <c r="D18" s="189"/>
      <c r="E18" s="54"/>
      <c r="F18" s="152" t="s">
        <v>169</v>
      </c>
      <c r="G18" s="179"/>
      <c r="H18" s="179"/>
      <c r="I18" s="209" t="s">
        <v>996</v>
      </c>
    </row>
    <row r="19" ht="39.75" customHeight="1">
      <c r="B19" s="191">
        <v>7.0</v>
      </c>
      <c r="C19" s="220" t="s">
        <v>997</v>
      </c>
      <c r="D19" s="225"/>
      <c r="E19" s="54"/>
      <c r="F19" s="152" t="s">
        <v>169</v>
      </c>
      <c r="G19" s="179"/>
      <c r="H19" s="179"/>
      <c r="I19" s="209" t="s">
        <v>797</v>
      </c>
    </row>
    <row r="20" ht="32.25" customHeight="1">
      <c r="B20" s="191">
        <v>8.0</v>
      </c>
      <c r="C20" s="226" t="s">
        <v>998</v>
      </c>
      <c r="D20" s="198"/>
      <c r="F20" s="152" t="s">
        <v>169</v>
      </c>
      <c r="G20" s="179"/>
      <c r="H20" s="179"/>
      <c r="I20" s="209" t="s">
        <v>999</v>
      </c>
    </row>
    <row r="21" ht="34.5" customHeight="1">
      <c r="B21" s="191">
        <v>9.0</v>
      </c>
      <c r="C21" s="227" t="s">
        <v>1000</v>
      </c>
      <c r="D21" s="189"/>
      <c r="F21" s="152" t="s">
        <v>169</v>
      </c>
      <c r="G21" s="179"/>
      <c r="H21" s="179"/>
      <c r="I21" s="209" t="s">
        <v>255</v>
      </c>
    </row>
    <row r="22" ht="30.75" customHeight="1">
      <c r="B22" s="191">
        <v>10.0</v>
      </c>
      <c r="C22" s="227" t="s">
        <v>1001</v>
      </c>
      <c r="D22" s="189"/>
      <c r="E22" s="228"/>
      <c r="F22" s="152" t="s">
        <v>169</v>
      </c>
      <c r="G22" s="179"/>
      <c r="H22" s="179"/>
      <c r="I22" s="209" t="s">
        <v>1002</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2:I2"/>
    <mergeCell ref="K2:L2"/>
    <mergeCell ref="C4:D4"/>
    <mergeCell ref="C5:D5"/>
    <mergeCell ref="C6:D6"/>
    <mergeCell ref="B7:C7"/>
    <mergeCell ref="B9:D9"/>
    <mergeCell ref="C16:D16"/>
    <mergeCell ref="C17:D17"/>
    <mergeCell ref="C18:D18"/>
    <mergeCell ref="C19:D19"/>
    <mergeCell ref="C20:D20"/>
    <mergeCell ref="C21:D21"/>
    <mergeCell ref="C22:D22"/>
    <mergeCell ref="F10:H10"/>
    <mergeCell ref="I10:I11"/>
    <mergeCell ref="B11:D11"/>
    <mergeCell ref="C12:D12"/>
    <mergeCell ref="C13:D13"/>
    <mergeCell ref="C14:D14"/>
    <mergeCell ref="C15:D15"/>
  </mergeCells>
  <printOptions/>
  <pageMargins bottom="0.75" footer="0.0" header="0.0" left="0.7" right="0.7" top="0.75"/>
  <pageSetup paperSize="9" orientation="portrait"/>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11.43"/>
    <col customWidth="1" min="11" max="11" width="14.14"/>
    <col customWidth="1" min="12" max="26" width="11.43"/>
  </cols>
  <sheetData>
    <row r="2" ht="21.75" customHeight="1">
      <c r="B2" s="26" t="s">
        <v>124</v>
      </c>
      <c r="C2" s="27"/>
      <c r="D2" s="27"/>
      <c r="E2" s="27"/>
      <c r="F2" s="27"/>
      <c r="G2" s="27"/>
      <c r="H2" s="27"/>
      <c r="I2" s="27"/>
      <c r="K2" s="172" t="s">
        <v>125</v>
      </c>
      <c r="L2" s="29"/>
    </row>
    <row r="3" ht="15.0" customHeight="1">
      <c r="K3" s="31" t="s">
        <v>126</v>
      </c>
      <c r="L3" s="32">
        <f>COUNT(B12:D100)</f>
        <v>31</v>
      </c>
    </row>
    <row r="4">
      <c r="B4" s="33" t="s">
        <v>127</v>
      </c>
      <c r="C4" s="34" t="s">
        <v>128</v>
      </c>
      <c r="K4" s="31" t="s">
        <v>129</v>
      </c>
      <c r="L4" s="32">
        <f>COUNTIF(F12:F100,"X")</f>
        <v>31</v>
      </c>
    </row>
    <row r="5">
      <c r="B5" s="33" t="s">
        <v>130</v>
      </c>
      <c r="C5" s="34" t="s">
        <v>131</v>
      </c>
      <c r="K5" s="31" t="s">
        <v>134</v>
      </c>
      <c r="L5" s="32" t="str">
        <f>PERCENTOF(L4,L3)</f>
        <v>#NAME?</v>
      </c>
    </row>
    <row r="6">
      <c r="B6" s="33" t="s">
        <v>132</v>
      </c>
      <c r="C6" s="34" t="s">
        <v>133</v>
      </c>
    </row>
    <row r="7">
      <c r="B7" s="66" t="s">
        <v>135</v>
      </c>
      <c r="D7" s="34" t="s">
        <v>136</v>
      </c>
    </row>
    <row r="8">
      <c r="B8" s="66"/>
      <c r="C8" s="66"/>
      <c r="D8" s="34"/>
    </row>
    <row r="9" ht="16.5" customHeight="1">
      <c r="B9" s="174"/>
      <c r="E9" s="175"/>
      <c r="F9" s="175"/>
      <c r="G9" s="175"/>
      <c r="H9" s="175"/>
      <c r="I9" s="175"/>
    </row>
    <row r="10" ht="21.0" customHeight="1">
      <c r="F10" s="37" t="s">
        <v>137</v>
      </c>
      <c r="G10" s="38"/>
      <c r="H10" s="39"/>
      <c r="I10" s="40" t="s">
        <v>250</v>
      </c>
    </row>
    <row r="11" ht="20.25" customHeight="1">
      <c r="B11" s="176" t="s">
        <v>1003</v>
      </c>
      <c r="C11" s="27"/>
      <c r="D11" s="27"/>
      <c r="E11" s="43"/>
      <c r="F11" s="44" t="s">
        <v>127</v>
      </c>
      <c r="G11" s="45" t="s">
        <v>130</v>
      </c>
      <c r="H11" s="45" t="s">
        <v>132</v>
      </c>
      <c r="I11" s="46"/>
      <c r="J11" s="67"/>
    </row>
    <row r="12" ht="11.25" customHeight="1">
      <c r="C12" s="177"/>
      <c r="F12" s="147"/>
      <c r="G12" s="147"/>
      <c r="H12" s="147"/>
      <c r="I12" s="147"/>
    </row>
    <row r="13" ht="38.25" customHeight="1">
      <c r="B13" s="187">
        <v>1.0</v>
      </c>
      <c r="C13" s="229" t="s">
        <v>1004</v>
      </c>
      <c r="D13" s="189"/>
      <c r="E13" s="54"/>
      <c r="F13" s="152" t="s">
        <v>169</v>
      </c>
      <c r="G13" s="179"/>
      <c r="H13" s="179"/>
      <c r="I13" s="153"/>
    </row>
    <row r="14" ht="40.5" customHeight="1">
      <c r="B14" s="191">
        <v>2.0</v>
      </c>
      <c r="C14" s="220" t="s">
        <v>1005</v>
      </c>
      <c r="D14" s="193"/>
      <c r="E14" s="180"/>
      <c r="F14" s="152" t="s">
        <v>169</v>
      </c>
      <c r="G14" s="179"/>
      <c r="H14" s="179"/>
      <c r="I14" s="153"/>
    </row>
    <row r="15" ht="39.0" customHeight="1">
      <c r="B15" s="191">
        <v>3.0</v>
      </c>
      <c r="C15" s="221" t="s">
        <v>1006</v>
      </c>
      <c r="D15" s="198"/>
      <c r="E15" s="54"/>
      <c r="F15" s="152" t="s">
        <v>169</v>
      </c>
      <c r="G15" s="179"/>
      <c r="H15" s="179"/>
      <c r="I15" s="153"/>
    </row>
    <row r="16" ht="39.0" customHeight="1">
      <c r="B16" s="191">
        <v>4.0</v>
      </c>
      <c r="C16" s="222" t="s">
        <v>1007</v>
      </c>
      <c r="D16" s="198"/>
      <c r="E16" s="54"/>
      <c r="F16" s="152" t="s">
        <v>169</v>
      </c>
      <c r="G16" s="179"/>
      <c r="H16" s="179"/>
      <c r="I16" s="153"/>
    </row>
    <row r="17" ht="37.5" customHeight="1">
      <c r="B17" s="191">
        <v>5.0</v>
      </c>
      <c r="C17" s="223" t="s">
        <v>1008</v>
      </c>
      <c r="D17" s="189"/>
      <c r="E17" s="54"/>
      <c r="F17" s="152" t="s">
        <v>169</v>
      </c>
      <c r="G17" s="179"/>
      <c r="H17" s="179"/>
      <c r="I17" s="153"/>
    </row>
    <row r="18" ht="32.25" customHeight="1">
      <c r="B18" s="191">
        <v>6.0</v>
      </c>
      <c r="C18" s="223" t="s">
        <v>1009</v>
      </c>
      <c r="D18" s="189"/>
      <c r="E18" s="54"/>
      <c r="F18" s="152" t="s">
        <v>169</v>
      </c>
      <c r="G18" s="179"/>
      <c r="H18" s="179"/>
      <c r="I18" s="153"/>
    </row>
    <row r="19" ht="34.5" customHeight="1">
      <c r="B19" s="191">
        <v>7.0</v>
      </c>
      <c r="C19" s="223" t="s">
        <v>1010</v>
      </c>
      <c r="D19" s="189"/>
      <c r="E19" s="54"/>
      <c r="F19" s="152" t="s">
        <v>169</v>
      </c>
      <c r="G19" s="179"/>
      <c r="H19" s="179"/>
      <c r="I19" s="153"/>
    </row>
    <row r="20" ht="36.0" customHeight="1">
      <c r="B20" s="191">
        <v>8.0</v>
      </c>
      <c r="C20" s="223" t="s">
        <v>1011</v>
      </c>
      <c r="D20" s="189"/>
      <c r="E20" s="54"/>
      <c r="F20" s="152" t="s">
        <v>169</v>
      </c>
      <c r="G20" s="179"/>
      <c r="H20" s="179"/>
      <c r="I20" s="153"/>
    </row>
    <row r="21" ht="38.25" customHeight="1">
      <c r="B21" s="191">
        <v>9.0</v>
      </c>
      <c r="C21" s="223" t="s">
        <v>1012</v>
      </c>
      <c r="D21" s="189"/>
      <c r="E21" s="54"/>
      <c r="F21" s="152" t="s">
        <v>169</v>
      </c>
      <c r="G21" s="179"/>
      <c r="H21" s="179"/>
      <c r="I21" s="153"/>
    </row>
    <row r="22" ht="35.25" customHeight="1">
      <c r="B22" s="191">
        <v>10.0</v>
      </c>
      <c r="C22" s="223" t="s">
        <v>1013</v>
      </c>
      <c r="D22" s="189"/>
      <c r="E22" s="54"/>
      <c r="F22" s="152" t="s">
        <v>169</v>
      </c>
      <c r="G22" s="179"/>
      <c r="H22" s="179"/>
      <c r="I22" s="153"/>
    </row>
    <row r="23" ht="36.75" customHeight="1">
      <c r="B23" s="191">
        <v>11.0</v>
      </c>
      <c r="C23" s="223" t="s">
        <v>1014</v>
      </c>
      <c r="D23" s="189"/>
      <c r="E23" s="54"/>
      <c r="F23" s="152" t="s">
        <v>169</v>
      </c>
      <c r="G23" s="179"/>
      <c r="H23" s="179"/>
      <c r="I23" s="153"/>
    </row>
    <row r="24" ht="30.75" customHeight="1">
      <c r="B24" s="191">
        <v>12.0</v>
      </c>
      <c r="C24" s="223" t="s">
        <v>1015</v>
      </c>
      <c r="D24" s="189"/>
      <c r="E24" s="54"/>
      <c r="F24" s="152" t="s">
        <v>169</v>
      </c>
      <c r="G24" s="179"/>
      <c r="H24" s="179"/>
      <c r="I24" s="153"/>
    </row>
    <row r="25" ht="35.25" customHeight="1">
      <c r="B25" s="191">
        <v>13.0</v>
      </c>
      <c r="C25" s="223" t="s">
        <v>1016</v>
      </c>
      <c r="D25" s="189"/>
      <c r="E25" s="54"/>
      <c r="F25" s="152" t="s">
        <v>169</v>
      </c>
      <c r="G25" s="179"/>
      <c r="H25" s="179"/>
      <c r="I25" s="153"/>
    </row>
    <row r="26" ht="39.0" customHeight="1">
      <c r="B26" s="191">
        <v>14.0</v>
      </c>
      <c r="C26" s="223" t="s">
        <v>1017</v>
      </c>
      <c r="D26" s="189"/>
      <c r="E26" s="54"/>
      <c r="F26" s="152" t="s">
        <v>169</v>
      </c>
      <c r="G26" s="179"/>
      <c r="H26" s="179"/>
      <c r="I26" s="153"/>
    </row>
    <row r="27" ht="34.5" customHeight="1">
      <c r="B27" s="191">
        <v>15.0</v>
      </c>
      <c r="C27" s="223" t="s">
        <v>1018</v>
      </c>
      <c r="D27" s="189"/>
      <c r="E27" s="54"/>
      <c r="F27" s="152" t="s">
        <v>169</v>
      </c>
      <c r="G27" s="179"/>
      <c r="H27" s="179"/>
      <c r="I27" s="153"/>
    </row>
    <row r="28" ht="34.5" customHeight="1">
      <c r="B28" s="191">
        <v>16.0</v>
      </c>
      <c r="C28" s="223" t="s">
        <v>1019</v>
      </c>
      <c r="D28" s="189"/>
      <c r="E28" s="54"/>
      <c r="F28" s="152" t="s">
        <v>169</v>
      </c>
      <c r="G28" s="179"/>
      <c r="H28" s="179"/>
      <c r="I28" s="153"/>
    </row>
    <row r="29" ht="37.5" customHeight="1">
      <c r="B29" s="191">
        <v>17.0</v>
      </c>
      <c r="C29" s="223" t="s">
        <v>1020</v>
      </c>
      <c r="D29" s="189"/>
      <c r="E29" s="54"/>
      <c r="F29" s="152" t="s">
        <v>169</v>
      </c>
      <c r="G29" s="179"/>
      <c r="H29" s="179"/>
      <c r="I29" s="153"/>
    </row>
    <row r="30" ht="15.75" customHeight="1">
      <c r="B30" s="191">
        <v>18.0</v>
      </c>
      <c r="C30" s="223" t="s">
        <v>1021</v>
      </c>
      <c r="D30" s="189"/>
      <c r="E30" s="54"/>
      <c r="F30" s="152" t="s">
        <v>169</v>
      </c>
      <c r="G30" s="179"/>
      <c r="H30" s="179"/>
      <c r="I30" s="153"/>
    </row>
    <row r="31" ht="36.75" customHeight="1">
      <c r="B31" s="191">
        <v>19.0</v>
      </c>
      <c r="C31" s="223" t="s">
        <v>1022</v>
      </c>
      <c r="D31" s="189"/>
      <c r="E31" s="54"/>
      <c r="F31" s="152" t="s">
        <v>169</v>
      </c>
      <c r="G31" s="179"/>
      <c r="H31" s="179"/>
      <c r="I31" s="153"/>
    </row>
    <row r="32" ht="30.75" customHeight="1">
      <c r="B32" s="191">
        <v>20.0</v>
      </c>
      <c r="C32" s="223" t="s">
        <v>1023</v>
      </c>
      <c r="D32" s="189"/>
      <c r="E32" s="54"/>
      <c r="F32" s="152" t="s">
        <v>169</v>
      </c>
      <c r="G32" s="179"/>
      <c r="H32" s="179"/>
      <c r="I32" s="153"/>
    </row>
    <row r="33" ht="38.25" customHeight="1">
      <c r="B33" s="191">
        <v>21.0</v>
      </c>
      <c r="C33" s="223" t="s">
        <v>1024</v>
      </c>
      <c r="D33" s="189"/>
      <c r="E33" s="54"/>
      <c r="F33" s="152" t="s">
        <v>169</v>
      </c>
      <c r="G33" s="179"/>
      <c r="H33" s="179"/>
      <c r="I33" s="153"/>
    </row>
    <row r="34" ht="36.0" customHeight="1">
      <c r="B34" s="191">
        <v>22.0</v>
      </c>
      <c r="C34" s="223" t="s">
        <v>1025</v>
      </c>
      <c r="D34" s="189"/>
      <c r="E34" s="54"/>
      <c r="F34" s="152" t="s">
        <v>169</v>
      </c>
      <c r="G34" s="179"/>
      <c r="H34" s="179"/>
      <c r="I34" s="153"/>
    </row>
    <row r="35" ht="36.75" customHeight="1">
      <c r="B35" s="191">
        <v>23.0</v>
      </c>
      <c r="C35" s="223" t="s">
        <v>1026</v>
      </c>
      <c r="D35" s="189"/>
      <c r="E35" s="54"/>
      <c r="F35" s="152" t="s">
        <v>169</v>
      </c>
      <c r="G35" s="179"/>
      <c r="H35" s="179"/>
      <c r="I35" s="153"/>
    </row>
    <row r="36" ht="40.5" customHeight="1">
      <c r="B36" s="191">
        <v>24.0</v>
      </c>
      <c r="C36" s="223" t="s">
        <v>1027</v>
      </c>
      <c r="D36" s="189"/>
      <c r="E36" s="54"/>
      <c r="F36" s="152" t="s">
        <v>169</v>
      </c>
      <c r="G36" s="179"/>
      <c r="H36" s="179"/>
      <c r="I36" s="153"/>
    </row>
    <row r="37" ht="33.75" customHeight="1">
      <c r="B37" s="191">
        <v>25.0</v>
      </c>
      <c r="C37" s="223" t="s">
        <v>1028</v>
      </c>
      <c r="D37" s="189"/>
      <c r="E37" s="54"/>
      <c r="F37" s="152" t="s">
        <v>169</v>
      </c>
      <c r="G37" s="179"/>
      <c r="H37" s="179"/>
      <c r="I37" s="153"/>
    </row>
    <row r="38" ht="34.5" customHeight="1">
      <c r="B38" s="191">
        <v>26.0</v>
      </c>
      <c r="C38" s="223" t="s">
        <v>1029</v>
      </c>
      <c r="D38" s="189"/>
      <c r="E38" s="54"/>
      <c r="F38" s="152" t="s">
        <v>169</v>
      </c>
      <c r="G38" s="179"/>
      <c r="H38" s="179"/>
      <c r="I38" s="153"/>
    </row>
    <row r="39" ht="33.75" customHeight="1">
      <c r="B39" s="191">
        <v>27.0</v>
      </c>
      <c r="C39" s="223" t="s">
        <v>1030</v>
      </c>
      <c r="D39" s="189"/>
      <c r="E39" s="54"/>
      <c r="F39" s="152" t="s">
        <v>169</v>
      </c>
      <c r="G39" s="179"/>
      <c r="H39" s="179"/>
      <c r="I39" s="153"/>
    </row>
    <row r="40" ht="35.25" customHeight="1">
      <c r="B40" s="191">
        <v>28.0</v>
      </c>
      <c r="C40" s="223" t="s">
        <v>1031</v>
      </c>
      <c r="D40" s="189"/>
      <c r="E40" s="54"/>
      <c r="F40" s="152" t="s">
        <v>169</v>
      </c>
      <c r="G40" s="179"/>
      <c r="H40" s="179"/>
      <c r="I40" s="153"/>
    </row>
    <row r="41" ht="32.25" customHeight="1">
      <c r="B41" s="191">
        <v>29.0</v>
      </c>
      <c r="C41" s="223" t="s">
        <v>1032</v>
      </c>
      <c r="D41" s="189"/>
      <c r="E41" s="54"/>
      <c r="F41" s="152" t="s">
        <v>169</v>
      </c>
      <c r="G41" s="179"/>
      <c r="H41" s="179"/>
      <c r="I41" s="153"/>
    </row>
    <row r="42" ht="40.5" customHeight="1">
      <c r="B42" s="191">
        <v>30.0</v>
      </c>
      <c r="C42" s="223" t="s">
        <v>1033</v>
      </c>
      <c r="D42" s="189"/>
      <c r="E42" s="54"/>
      <c r="F42" s="152" t="s">
        <v>169</v>
      </c>
      <c r="G42" s="179"/>
      <c r="H42" s="179"/>
      <c r="I42" s="153"/>
    </row>
    <row r="43" ht="15.75" customHeight="1">
      <c r="B43" s="230">
        <v>31.0</v>
      </c>
      <c r="C43" s="223" t="s">
        <v>1034</v>
      </c>
      <c r="D43" s="189"/>
      <c r="E43" s="54"/>
      <c r="F43" s="213" t="s">
        <v>141</v>
      </c>
      <c r="G43" s="179"/>
      <c r="H43" s="179"/>
      <c r="I43" s="153"/>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7:D37"/>
    <mergeCell ref="C38:D38"/>
    <mergeCell ref="C39:D39"/>
    <mergeCell ref="C40:D40"/>
    <mergeCell ref="C41:D41"/>
    <mergeCell ref="C42:D42"/>
    <mergeCell ref="C43:D43"/>
    <mergeCell ref="C30:D30"/>
    <mergeCell ref="C31:D31"/>
    <mergeCell ref="C32:D32"/>
    <mergeCell ref="C33:D33"/>
    <mergeCell ref="C34:D34"/>
    <mergeCell ref="C35:D35"/>
    <mergeCell ref="C36:D36"/>
  </mergeCells>
  <printOptions/>
  <pageMargins bottom="0.75" footer="0.0" header="0.0" left="0.7" right="0.7" top="0.75"/>
  <pageSetup paperSize="9" orientation="portrait"/>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11.43"/>
    <col customWidth="1" min="11" max="11" width="14.14"/>
    <col customWidth="1" min="12" max="26" width="11.43"/>
  </cols>
  <sheetData>
    <row r="2" ht="21.75" customHeight="1">
      <c r="B2" s="26" t="s">
        <v>124</v>
      </c>
      <c r="C2" s="27"/>
      <c r="D2" s="27"/>
      <c r="E2" s="27"/>
      <c r="F2" s="27"/>
      <c r="G2" s="27"/>
      <c r="H2" s="27"/>
      <c r="I2" s="27"/>
      <c r="K2" s="231" t="s">
        <v>125</v>
      </c>
      <c r="L2" s="29"/>
    </row>
    <row r="3" ht="15.0" customHeight="1">
      <c r="K3" s="31" t="s">
        <v>126</v>
      </c>
      <c r="L3" s="32">
        <f>COUNT(B12:D92)</f>
        <v>20</v>
      </c>
    </row>
    <row r="4">
      <c r="B4" s="33" t="s">
        <v>127</v>
      </c>
      <c r="C4" s="34" t="s">
        <v>128</v>
      </c>
      <c r="K4" s="31" t="s">
        <v>129</v>
      </c>
      <c r="L4" s="32">
        <f>COUNTIF(F12:F92,"X")</f>
        <v>20</v>
      </c>
    </row>
    <row r="5">
      <c r="B5" s="33" t="s">
        <v>130</v>
      </c>
      <c r="C5" s="34" t="s">
        <v>131</v>
      </c>
      <c r="K5" s="31" t="s">
        <v>134</v>
      </c>
      <c r="L5" s="35" t="str">
        <f>PERCENTOF(L4,L3)</f>
        <v>#NAME?</v>
      </c>
    </row>
    <row r="6">
      <c r="B6" s="33" t="s">
        <v>132</v>
      </c>
      <c r="C6" s="34" t="s">
        <v>133</v>
      </c>
    </row>
    <row r="7">
      <c r="B7" s="66" t="s">
        <v>135</v>
      </c>
      <c r="D7" s="34" t="s">
        <v>136</v>
      </c>
    </row>
    <row r="8">
      <c r="B8" s="66"/>
      <c r="C8" s="66"/>
      <c r="D8" s="34"/>
    </row>
    <row r="9" ht="19.5" customHeight="1">
      <c r="B9" s="232"/>
      <c r="E9" s="175"/>
      <c r="F9" s="175"/>
      <c r="G9" s="175"/>
      <c r="H9" s="175"/>
      <c r="I9" s="175"/>
    </row>
    <row r="10">
      <c r="F10" s="37" t="s">
        <v>137</v>
      </c>
      <c r="G10" s="38"/>
      <c r="H10" s="39"/>
      <c r="I10" s="40" t="s">
        <v>250</v>
      </c>
    </row>
    <row r="11" ht="21.0" customHeight="1">
      <c r="A11" s="233"/>
      <c r="B11" s="234" t="s">
        <v>1035</v>
      </c>
      <c r="C11" s="27"/>
      <c r="D11" s="27"/>
      <c r="E11" s="235"/>
      <c r="F11" s="44" t="s">
        <v>127</v>
      </c>
      <c r="G11" s="45" t="s">
        <v>130</v>
      </c>
      <c r="H11" s="45" t="s">
        <v>132</v>
      </c>
      <c r="I11" s="46"/>
      <c r="J11" s="236"/>
      <c r="K11" s="233"/>
      <c r="L11" s="233"/>
      <c r="M11" s="233"/>
      <c r="N11" s="233"/>
      <c r="O11" s="233"/>
      <c r="P11" s="233"/>
      <c r="Q11" s="233"/>
      <c r="R11" s="233"/>
      <c r="S11" s="233"/>
      <c r="T11" s="233"/>
      <c r="U11" s="233"/>
      <c r="V11" s="233"/>
      <c r="W11" s="233"/>
      <c r="X11" s="233"/>
      <c r="Y11" s="233"/>
      <c r="Z11" s="233"/>
    </row>
    <row r="12" ht="11.25" customHeight="1">
      <c r="C12" s="177"/>
      <c r="F12" s="147"/>
      <c r="G12" s="147"/>
      <c r="H12" s="147"/>
      <c r="I12" s="147"/>
    </row>
    <row r="13">
      <c r="B13" s="237">
        <v>1.0</v>
      </c>
      <c r="C13" s="238" t="s">
        <v>1036</v>
      </c>
      <c r="D13" s="239"/>
      <c r="E13" s="54"/>
      <c r="F13" s="151" t="s">
        <v>141</v>
      </c>
      <c r="G13" s="179"/>
      <c r="H13" s="151"/>
      <c r="I13" s="209" t="s">
        <v>702</v>
      </c>
    </row>
    <row r="14">
      <c r="B14" s="240">
        <v>2.0</v>
      </c>
      <c r="C14" s="238" t="s">
        <v>1037</v>
      </c>
      <c r="D14" s="239"/>
      <c r="E14" s="54"/>
      <c r="F14" s="151" t="s">
        <v>141</v>
      </c>
      <c r="G14" s="179"/>
      <c r="H14" s="151"/>
      <c r="I14" s="209" t="s">
        <v>1038</v>
      </c>
    </row>
    <row r="15">
      <c r="B15" s="240">
        <v>3.0</v>
      </c>
      <c r="C15" s="241" t="s">
        <v>1039</v>
      </c>
      <c r="D15" s="242"/>
      <c r="F15" s="151" t="s">
        <v>141</v>
      </c>
      <c r="G15" s="179"/>
      <c r="H15" s="151"/>
      <c r="I15" s="209" t="s">
        <v>1040</v>
      </c>
    </row>
    <row r="16">
      <c r="B16" s="240">
        <v>4.0</v>
      </c>
      <c r="C16" s="241" t="s">
        <v>1041</v>
      </c>
      <c r="D16" s="242"/>
      <c r="F16" s="151" t="s">
        <v>141</v>
      </c>
      <c r="G16" s="179"/>
      <c r="H16" s="151"/>
      <c r="I16" s="209" t="s">
        <v>1042</v>
      </c>
    </row>
    <row r="17">
      <c r="B17" s="240">
        <v>5.0</v>
      </c>
      <c r="C17" s="241" t="s">
        <v>1043</v>
      </c>
      <c r="D17" s="242"/>
      <c r="F17" s="151" t="s">
        <v>141</v>
      </c>
      <c r="G17" s="179"/>
      <c r="H17" s="151"/>
      <c r="I17" s="209" t="s">
        <v>1044</v>
      </c>
    </row>
    <row r="18">
      <c r="B18" s="243">
        <v>6.0</v>
      </c>
      <c r="C18" s="244" t="s">
        <v>1045</v>
      </c>
      <c r="D18" s="242"/>
      <c r="F18" s="151" t="s">
        <v>141</v>
      </c>
      <c r="G18" s="179"/>
      <c r="H18" s="151"/>
      <c r="I18" s="209" t="s">
        <v>702</v>
      </c>
    </row>
    <row r="19">
      <c r="B19" s="243">
        <v>7.0</v>
      </c>
      <c r="C19" s="244" t="s">
        <v>1046</v>
      </c>
      <c r="D19" s="242"/>
      <c r="F19" s="151" t="s">
        <v>141</v>
      </c>
      <c r="G19" s="179"/>
      <c r="H19" s="151"/>
      <c r="I19" s="209" t="s">
        <v>702</v>
      </c>
    </row>
    <row r="20">
      <c r="B20" s="245">
        <v>8.0</v>
      </c>
      <c r="C20" s="238" t="s">
        <v>1047</v>
      </c>
      <c r="D20" s="239"/>
      <c r="F20" s="160" t="s">
        <v>141</v>
      </c>
      <c r="G20" s="179"/>
      <c r="H20" s="160"/>
      <c r="I20" s="246" t="s">
        <v>1048</v>
      </c>
    </row>
    <row r="21" ht="15.75" customHeight="1">
      <c r="B21" s="247">
        <v>9.0</v>
      </c>
      <c r="C21" s="248" t="s">
        <v>1049</v>
      </c>
      <c r="D21" s="249"/>
      <c r="F21" s="31" t="s">
        <v>141</v>
      </c>
      <c r="G21" s="179"/>
      <c r="H21" s="31"/>
      <c r="I21" s="82" t="s">
        <v>797</v>
      </c>
    </row>
    <row r="22" ht="18.75" customHeight="1">
      <c r="B22" s="237">
        <v>10.0</v>
      </c>
      <c r="C22" s="238" t="s">
        <v>1050</v>
      </c>
      <c r="D22" s="239"/>
      <c r="F22" s="151" t="s">
        <v>141</v>
      </c>
      <c r="G22" s="179"/>
      <c r="H22" s="151"/>
      <c r="I22" s="209" t="s">
        <v>797</v>
      </c>
    </row>
    <row r="23" ht="18.75" customHeight="1">
      <c r="B23" s="240">
        <v>11.0</v>
      </c>
      <c r="C23" s="238" t="s">
        <v>1051</v>
      </c>
      <c r="D23" s="239"/>
      <c r="F23" s="151" t="s">
        <v>141</v>
      </c>
      <c r="G23" s="179"/>
      <c r="H23" s="151"/>
      <c r="I23" s="209" t="s">
        <v>797</v>
      </c>
    </row>
    <row r="24" ht="18.75" customHeight="1">
      <c r="B24" s="240">
        <v>12.0</v>
      </c>
      <c r="C24" s="241" t="s">
        <v>1052</v>
      </c>
      <c r="D24" s="242"/>
      <c r="F24" s="151" t="s">
        <v>141</v>
      </c>
      <c r="G24" s="179"/>
      <c r="H24" s="151"/>
      <c r="I24" s="209" t="s">
        <v>702</v>
      </c>
    </row>
    <row r="25">
      <c r="B25" s="240">
        <v>13.0</v>
      </c>
      <c r="C25" s="241" t="s">
        <v>1053</v>
      </c>
      <c r="D25" s="242"/>
      <c r="F25" s="151" t="s">
        <v>141</v>
      </c>
      <c r="G25" s="179"/>
      <c r="H25" s="151"/>
      <c r="I25" s="209" t="s">
        <v>1054</v>
      </c>
    </row>
    <row r="26" ht="18.75" customHeight="1">
      <c r="B26" s="240">
        <v>14.0</v>
      </c>
      <c r="C26" s="241" t="s">
        <v>1055</v>
      </c>
      <c r="D26" s="242"/>
      <c r="F26" s="151" t="s">
        <v>141</v>
      </c>
      <c r="G26" s="179"/>
      <c r="H26" s="151"/>
      <c r="I26" s="209" t="s">
        <v>1056</v>
      </c>
    </row>
    <row r="27" ht="18.75" customHeight="1">
      <c r="B27" s="243">
        <v>15.0</v>
      </c>
      <c r="C27" s="244" t="s">
        <v>1057</v>
      </c>
      <c r="D27" s="242"/>
      <c r="F27" s="151" t="s">
        <v>141</v>
      </c>
      <c r="G27" s="179"/>
      <c r="H27" s="151"/>
      <c r="I27" s="209" t="s">
        <v>1058</v>
      </c>
    </row>
    <row r="28" ht="18.75" customHeight="1">
      <c r="B28" s="243">
        <v>16.0</v>
      </c>
      <c r="C28" s="244" t="s">
        <v>1059</v>
      </c>
      <c r="D28" s="242"/>
      <c r="F28" s="151" t="s">
        <v>141</v>
      </c>
      <c r="G28" s="179"/>
      <c r="H28" s="151"/>
      <c r="I28" s="153"/>
    </row>
    <row r="29" ht="18.75" customHeight="1">
      <c r="B29" s="245">
        <v>17.0</v>
      </c>
      <c r="C29" s="238" t="s">
        <v>1060</v>
      </c>
      <c r="D29" s="239"/>
      <c r="F29" s="160" t="s">
        <v>141</v>
      </c>
      <c r="G29" s="179"/>
      <c r="H29" s="160"/>
      <c r="I29" s="161"/>
    </row>
    <row r="30" ht="18.75" customHeight="1">
      <c r="B30" s="247">
        <v>18.0</v>
      </c>
      <c r="C30" s="248" t="s">
        <v>1061</v>
      </c>
      <c r="D30" s="249"/>
      <c r="F30" s="31" t="s">
        <v>141</v>
      </c>
      <c r="G30" s="179"/>
      <c r="H30" s="31"/>
      <c r="I30" s="31"/>
    </row>
    <row r="31" ht="18.75" customHeight="1">
      <c r="B31" s="237">
        <v>19.0</v>
      </c>
      <c r="C31" s="238" t="s">
        <v>1062</v>
      </c>
      <c r="D31" s="239"/>
      <c r="F31" s="151" t="s">
        <v>141</v>
      </c>
      <c r="G31" s="179"/>
      <c r="H31" s="151"/>
      <c r="I31" s="153"/>
    </row>
    <row r="32" ht="18.75" customHeight="1">
      <c r="B32" s="240">
        <v>20.0</v>
      </c>
      <c r="C32" s="238" t="s">
        <v>1063</v>
      </c>
      <c r="D32" s="239"/>
      <c r="F32" s="151" t="s">
        <v>141</v>
      </c>
      <c r="G32" s="179"/>
      <c r="H32" s="151"/>
      <c r="I32" s="153"/>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16:D16"/>
    <mergeCell ref="C17:D17"/>
    <mergeCell ref="C18:D18"/>
    <mergeCell ref="C19:D19"/>
    <mergeCell ref="C20:D20"/>
    <mergeCell ref="C21:D21"/>
    <mergeCell ref="C22:D22"/>
    <mergeCell ref="C30:D30"/>
    <mergeCell ref="C31:D31"/>
    <mergeCell ref="C32:D32"/>
    <mergeCell ref="C23:D23"/>
    <mergeCell ref="C24:D24"/>
    <mergeCell ref="C25:D25"/>
    <mergeCell ref="C26:D26"/>
    <mergeCell ref="C27:D27"/>
    <mergeCell ref="C28:D28"/>
    <mergeCell ref="C29:D29"/>
  </mergeCells>
  <printOptions/>
  <pageMargins bottom="0.75" footer="0.0" header="0.0" left="0.7" right="0.7" top="0.75"/>
  <pageSetup paperSize="9" orientation="portrait"/>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11.43"/>
    <col customWidth="1" min="11" max="11" width="14.14"/>
    <col customWidth="1" min="12" max="26" width="11.43"/>
  </cols>
  <sheetData>
    <row r="2" ht="21.75" customHeight="1">
      <c r="B2" s="26" t="s">
        <v>124</v>
      </c>
      <c r="C2" s="27"/>
      <c r="D2" s="27"/>
      <c r="E2" s="27"/>
      <c r="F2" s="27"/>
      <c r="G2" s="27"/>
      <c r="H2" s="27"/>
      <c r="I2" s="27"/>
      <c r="K2" s="231" t="s">
        <v>125</v>
      </c>
      <c r="L2" s="29"/>
    </row>
    <row r="3" ht="15.0" customHeight="1">
      <c r="K3" s="31" t="s">
        <v>126</v>
      </c>
      <c r="L3" s="32">
        <f>COUNT(B12:D100)</f>
        <v>30</v>
      </c>
    </row>
    <row r="4">
      <c r="B4" s="33" t="s">
        <v>127</v>
      </c>
      <c r="C4" s="34" t="s">
        <v>128</v>
      </c>
      <c r="K4" s="31" t="s">
        <v>129</v>
      </c>
      <c r="L4" s="32">
        <f>COUNTIF(F12:F100,"X")</f>
        <v>30</v>
      </c>
    </row>
    <row r="5">
      <c r="B5" s="33" t="s">
        <v>130</v>
      </c>
      <c r="C5" s="34" t="s">
        <v>131</v>
      </c>
      <c r="K5" s="31" t="s">
        <v>134</v>
      </c>
      <c r="L5" s="35" t="str">
        <f>PERCENTOF(L4,L3)</f>
        <v>#NAME?</v>
      </c>
    </row>
    <row r="6">
      <c r="B6" s="33" t="s">
        <v>132</v>
      </c>
      <c r="C6" s="34" t="s">
        <v>133</v>
      </c>
    </row>
    <row r="7">
      <c r="B7" s="66" t="s">
        <v>135</v>
      </c>
      <c r="D7" s="34" t="s">
        <v>136</v>
      </c>
    </row>
    <row r="8">
      <c r="B8" s="66"/>
      <c r="C8" s="66"/>
      <c r="D8" s="34"/>
    </row>
    <row r="9" ht="19.5" customHeight="1">
      <c r="B9" s="232"/>
      <c r="E9" s="175"/>
      <c r="F9" s="175"/>
      <c r="G9" s="175"/>
      <c r="H9" s="175"/>
      <c r="I9" s="175"/>
    </row>
    <row r="10">
      <c r="F10" s="37" t="s">
        <v>137</v>
      </c>
      <c r="G10" s="38"/>
      <c r="H10" s="39"/>
      <c r="I10" s="40" t="s">
        <v>250</v>
      </c>
    </row>
    <row r="11" ht="21.0" customHeight="1">
      <c r="A11" s="233"/>
      <c r="B11" s="234" t="s">
        <v>1064</v>
      </c>
      <c r="C11" s="27"/>
      <c r="D11" s="27"/>
      <c r="E11" s="235"/>
      <c r="F11" s="44" t="s">
        <v>127</v>
      </c>
      <c r="G11" s="45" t="s">
        <v>130</v>
      </c>
      <c r="H11" s="45" t="s">
        <v>132</v>
      </c>
      <c r="I11" s="46"/>
      <c r="J11" s="236"/>
      <c r="K11" s="233"/>
      <c r="L11" s="233"/>
      <c r="M11" s="233"/>
      <c r="N11" s="233"/>
      <c r="O11" s="233"/>
      <c r="P11" s="233"/>
      <c r="Q11" s="233"/>
      <c r="R11" s="233"/>
      <c r="S11" s="233"/>
      <c r="T11" s="233"/>
      <c r="U11" s="233"/>
      <c r="V11" s="233"/>
      <c r="W11" s="233"/>
      <c r="X11" s="233"/>
      <c r="Y11" s="233"/>
      <c r="Z11" s="233"/>
    </row>
    <row r="12" ht="11.25" customHeight="1">
      <c r="C12" s="177"/>
      <c r="F12" s="147"/>
      <c r="G12" s="147"/>
      <c r="H12" s="147"/>
      <c r="I12" s="147"/>
    </row>
    <row r="13">
      <c r="B13" s="237">
        <v>1.0</v>
      </c>
      <c r="C13" s="238" t="s">
        <v>1065</v>
      </c>
      <c r="D13" s="239"/>
      <c r="E13" s="54"/>
      <c r="F13" s="179" t="s">
        <v>169</v>
      </c>
      <c r="G13" s="179"/>
      <c r="H13" s="179"/>
      <c r="I13" s="153"/>
    </row>
    <row r="14">
      <c r="B14" s="240">
        <v>2.0</v>
      </c>
      <c r="C14" s="238" t="s">
        <v>1066</v>
      </c>
      <c r="D14" s="239"/>
      <c r="E14" s="54"/>
      <c r="F14" s="179" t="s">
        <v>141</v>
      </c>
      <c r="G14" s="179"/>
      <c r="H14" s="179"/>
      <c r="I14" s="153"/>
    </row>
    <row r="15">
      <c r="B15" s="240">
        <v>3.0</v>
      </c>
      <c r="C15" s="241" t="s">
        <v>1067</v>
      </c>
      <c r="D15" s="242"/>
      <c r="F15" s="179" t="s">
        <v>141</v>
      </c>
      <c r="G15" s="179"/>
      <c r="H15" s="179"/>
      <c r="I15" s="153"/>
    </row>
    <row r="16">
      <c r="B16" s="240">
        <v>4.0</v>
      </c>
      <c r="C16" s="241" t="s">
        <v>1068</v>
      </c>
      <c r="D16" s="242"/>
      <c r="F16" s="179" t="s">
        <v>141</v>
      </c>
      <c r="G16" s="179"/>
      <c r="H16" s="179"/>
      <c r="I16" s="153"/>
    </row>
    <row r="17">
      <c r="B17" s="240">
        <v>5.0</v>
      </c>
      <c r="C17" s="241" t="s">
        <v>1069</v>
      </c>
      <c r="D17" s="242"/>
      <c r="F17" s="179" t="s">
        <v>141</v>
      </c>
      <c r="G17" s="179"/>
      <c r="H17" s="179"/>
      <c r="I17" s="153"/>
    </row>
    <row r="18" ht="18.75" customHeight="1">
      <c r="B18" s="237">
        <v>6.0</v>
      </c>
      <c r="C18" s="238" t="s">
        <v>1070</v>
      </c>
      <c r="D18" s="239"/>
      <c r="F18" s="179" t="s">
        <v>141</v>
      </c>
      <c r="G18" s="179"/>
      <c r="H18" s="179"/>
      <c r="I18" s="153"/>
    </row>
    <row r="19" ht="18.75" customHeight="1">
      <c r="B19" s="240">
        <v>7.0</v>
      </c>
      <c r="C19" s="238" t="s">
        <v>1071</v>
      </c>
      <c r="D19" s="239"/>
      <c r="F19" s="179" t="s">
        <v>141</v>
      </c>
      <c r="G19" s="179"/>
      <c r="H19" s="179"/>
      <c r="I19" s="153"/>
    </row>
    <row r="20" ht="18.75" customHeight="1">
      <c r="B20" s="240">
        <v>8.0</v>
      </c>
      <c r="C20" s="241" t="s">
        <v>1072</v>
      </c>
      <c r="D20" s="242"/>
      <c r="F20" s="179" t="s">
        <v>141</v>
      </c>
      <c r="G20" s="179"/>
      <c r="H20" s="179"/>
      <c r="I20" s="153"/>
    </row>
    <row r="21" ht="18.75" customHeight="1">
      <c r="B21" s="240">
        <v>9.0</v>
      </c>
      <c r="C21" s="241" t="s">
        <v>1073</v>
      </c>
      <c r="D21" s="242"/>
      <c r="F21" s="179" t="s">
        <v>141</v>
      </c>
      <c r="G21" s="179"/>
      <c r="H21" s="179"/>
      <c r="I21" s="153"/>
    </row>
    <row r="22" ht="18.75" customHeight="1">
      <c r="B22" s="240">
        <v>10.0</v>
      </c>
      <c r="C22" s="241" t="s">
        <v>1074</v>
      </c>
      <c r="D22" s="242"/>
      <c r="F22" s="179" t="s">
        <v>141</v>
      </c>
      <c r="G22" s="179"/>
      <c r="H22" s="179"/>
      <c r="I22" s="153"/>
    </row>
    <row r="23" ht="18.75" customHeight="1">
      <c r="B23" s="237">
        <v>11.0</v>
      </c>
      <c r="C23" s="238" t="s">
        <v>1075</v>
      </c>
      <c r="D23" s="239"/>
      <c r="F23" s="179" t="s">
        <v>141</v>
      </c>
      <c r="G23" s="179"/>
      <c r="H23" s="179"/>
      <c r="I23" s="153"/>
    </row>
    <row r="24" ht="18.75" customHeight="1">
      <c r="B24" s="240">
        <v>12.0</v>
      </c>
      <c r="C24" s="238" t="s">
        <v>1076</v>
      </c>
      <c r="D24" s="239"/>
      <c r="F24" s="179" t="s">
        <v>141</v>
      </c>
      <c r="G24" s="179"/>
      <c r="H24" s="179"/>
      <c r="I24" s="153"/>
    </row>
    <row r="25" ht="18.75" customHeight="1">
      <c r="B25" s="240">
        <v>13.0</v>
      </c>
      <c r="C25" s="241" t="s">
        <v>1077</v>
      </c>
      <c r="D25" s="242"/>
      <c r="F25" s="179" t="s">
        <v>141</v>
      </c>
      <c r="G25" s="179"/>
      <c r="H25" s="179"/>
      <c r="I25" s="153"/>
    </row>
    <row r="26" ht="18.75" customHeight="1">
      <c r="B26" s="240">
        <v>14.0</v>
      </c>
      <c r="C26" s="241" t="s">
        <v>1078</v>
      </c>
      <c r="D26" s="242"/>
      <c r="F26" s="179" t="s">
        <v>141</v>
      </c>
      <c r="G26" s="179"/>
      <c r="H26" s="179"/>
      <c r="I26" s="153"/>
    </row>
    <row r="27" ht="18.75" customHeight="1">
      <c r="B27" s="240">
        <v>15.0</v>
      </c>
      <c r="C27" s="241" t="s">
        <v>1079</v>
      </c>
      <c r="D27" s="242"/>
      <c r="F27" s="179" t="s">
        <v>141</v>
      </c>
      <c r="G27" s="179"/>
      <c r="H27" s="179"/>
      <c r="I27" s="153"/>
    </row>
    <row r="28" ht="18.75" customHeight="1">
      <c r="B28" s="237">
        <v>16.0</v>
      </c>
      <c r="C28" s="238" t="s">
        <v>1080</v>
      </c>
      <c r="D28" s="239"/>
      <c r="F28" s="179" t="s">
        <v>141</v>
      </c>
      <c r="G28" s="179"/>
      <c r="H28" s="179"/>
      <c r="I28" s="153"/>
    </row>
    <row r="29" ht="18.75" customHeight="1">
      <c r="B29" s="240">
        <v>17.0</v>
      </c>
      <c r="C29" s="238" t="s">
        <v>1081</v>
      </c>
      <c r="D29" s="239"/>
      <c r="F29" s="179" t="s">
        <v>141</v>
      </c>
      <c r="G29" s="179"/>
      <c r="H29" s="179"/>
      <c r="I29" s="153"/>
    </row>
    <row r="30" ht="18.75" customHeight="1">
      <c r="B30" s="240">
        <v>18.0</v>
      </c>
      <c r="C30" s="241" t="s">
        <v>1082</v>
      </c>
      <c r="D30" s="242"/>
      <c r="F30" s="179" t="s">
        <v>141</v>
      </c>
      <c r="G30" s="179"/>
      <c r="H30" s="179"/>
      <c r="I30" s="153"/>
    </row>
    <row r="31" ht="18.75" customHeight="1">
      <c r="B31" s="240">
        <v>19.0</v>
      </c>
      <c r="C31" s="241" t="s">
        <v>1083</v>
      </c>
      <c r="D31" s="242"/>
      <c r="F31" s="179" t="s">
        <v>141</v>
      </c>
      <c r="G31" s="179"/>
      <c r="H31" s="179"/>
      <c r="I31" s="153"/>
    </row>
    <row r="32" ht="18.75" customHeight="1">
      <c r="B32" s="240">
        <v>20.0</v>
      </c>
      <c r="C32" s="241" t="s">
        <v>1084</v>
      </c>
      <c r="D32" s="242"/>
      <c r="F32" s="179" t="s">
        <v>141</v>
      </c>
      <c r="G32" s="179"/>
      <c r="H32" s="179"/>
      <c r="I32" s="153"/>
    </row>
    <row r="33" ht="18.75" customHeight="1">
      <c r="B33" s="237">
        <v>21.0</v>
      </c>
      <c r="C33" s="238" t="s">
        <v>1085</v>
      </c>
      <c r="D33" s="239"/>
      <c r="F33" s="179" t="s">
        <v>141</v>
      </c>
      <c r="G33" s="179"/>
      <c r="H33" s="179"/>
      <c r="I33" s="153"/>
    </row>
    <row r="34" ht="18.75" customHeight="1">
      <c r="B34" s="240">
        <v>22.0</v>
      </c>
      <c r="C34" s="238" t="s">
        <v>1086</v>
      </c>
      <c r="D34" s="239"/>
      <c r="F34" s="179" t="s">
        <v>141</v>
      </c>
      <c r="G34" s="179"/>
      <c r="H34" s="179"/>
      <c r="I34" s="153"/>
    </row>
    <row r="35" ht="18.75" customHeight="1">
      <c r="B35" s="240">
        <v>23.0</v>
      </c>
      <c r="C35" s="241" t="s">
        <v>1087</v>
      </c>
      <c r="D35" s="242"/>
      <c r="F35" s="179" t="s">
        <v>141</v>
      </c>
      <c r="G35" s="179"/>
      <c r="H35" s="179"/>
      <c r="I35" s="153"/>
    </row>
    <row r="36" ht="18.75" customHeight="1">
      <c r="B36" s="240">
        <v>24.0</v>
      </c>
      <c r="C36" s="241" t="s">
        <v>1088</v>
      </c>
      <c r="D36" s="242"/>
      <c r="F36" s="179" t="s">
        <v>141</v>
      </c>
      <c r="G36" s="179"/>
      <c r="H36" s="179"/>
      <c r="I36" s="153"/>
    </row>
    <row r="37" ht="18.75" customHeight="1">
      <c r="B37" s="240">
        <v>25.0</v>
      </c>
      <c r="C37" s="241" t="s">
        <v>1089</v>
      </c>
      <c r="D37" s="242"/>
      <c r="F37" s="179" t="s">
        <v>141</v>
      </c>
      <c r="G37" s="179"/>
      <c r="H37" s="179"/>
      <c r="I37" s="153"/>
    </row>
    <row r="38" ht="18.75" customHeight="1">
      <c r="B38" s="237">
        <v>26.0</v>
      </c>
      <c r="C38" s="238" t="s">
        <v>1090</v>
      </c>
      <c r="D38" s="239"/>
      <c r="F38" s="179" t="s">
        <v>141</v>
      </c>
      <c r="G38" s="179"/>
      <c r="H38" s="179"/>
      <c r="I38" s="153"/>
    </row>
    <row r="39" ht="18.75" customHeight="1">
      <c r="B39" s="240">
        <v>27.0</v>
      </c>
      <c r="C39" s="238" t="s">
        <v>1091</v>
      </c>
      <c r="D39" s="239"/>
      <c r="F39" s="179" t="s">
        <v>141</v>
      </c>
      <c r="G39" s="179"/>
      <c r="H39" s="179"/>
      <c r="I39" s="153"/>
    </row>
    <row r="40" ht="18.75" customHeight="1">
      <c r="B40" s="240">
        <v>28.0</v>
      </c>
      <c r="C40" s="241" t="s">
        <v>1092</v>
      </c>
      <c r="D40" s="242"/>
      <c r="F40" s="179" t="s">
        <v>141</v>
      </c>
      <c r="G40" s="179"/>
      <c r="H40" s="179"/>
      <c r="I40" s="153"/>
    </row>
    <row r="41" ht="18.75" customHeight="1">
      <c r="B41" s="240">
        <v>29.0</v>
      </c>
      <c r="C41" s="241" t="s">
        <v>1093</v>
      </c>
      <c r="D41" s="242"/>
      <c r="F41" s="179" t="s">
        <v>141</v>
      </c>
      <c r="G41" s="179"/>
      <c r="H41" s="179"/>
      <c r="I41" s="153"/>
    </row>
    <row r="42" ht="18.75" customHeight="1">
      <c r="B42" s="240">
        <v>30.0</v>
      </c>
      <c r="C42" s="241" t="s">
        <v>1094</v>
      </c>
      <c r="D42" s="242"/>
      <c r="F42" s="179" t="s">
        <v>141</v>
      </c>
      <c r="G42" s="179"/>
      <c r="H42" s="179"/>
      <c r="I42" s="153"/>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7:D37"/>
    <mergeCell ref="C38:D38"/>
    <mergeCell ref="C39:D39"/>
    <mergeCell ref="C40:D40"/>
    <mergeCell ref="C41:D41"/>
    <mergeCell ref="C42:D42"/>
    <mergeCell ref="C30:D30"/>
    <mergeCell ref="C31:D31"/>
    <mergeCell ref="C32:D32"/>
    <mergeCell ref="C33:D33"/>
    <mergeCell ref="C34:D34"/>
    <mergeCell ref="C35:D35"/>
    <mergeCell ref="C36:D36"/>
  </mergeCells>
  <printOptions/>
  <pageMargins bottom="0.75" footer="0.0" header="0.0" left="0.7" right="0.7" top="0.75"/>
  <pageSetup paperSize="9" orientation="portrait"/>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000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26" width="11.43"/>
  </cols>
  <sheetData>
    <row r="2" ht="21.75" customHeight="1">
      <c r="B2" s="26" t="s">
        <v>124</v>
      </c>
      <c r="C2" s="27"/>
      <c r="D2" s="27"/>
      <c r="E2" s="27"/>
      <c r="F2" s="27"/>
      <c r="G2" s="27"/>
      <c r="H2" s="27"/>
      <c r="I2" s="27"/>
      <c r="K2" s="250" t="s">
        <v>125</v>
      </c>
      <c r="L2" s="29"/>
    </row>
    <row r="3" ht="15.0" customHeight="1">
      <c r="K3" s="31" t="s">
        <v>126</v>
      </c>
      <c r="L3" s="32">
        <f>COUNT(B12:D99)</f>
        <v>8</v>
      </c>
    </row>
    <row r="4">
      <c r="B4" s="33" t="s">
        <v>127</v>
      </c>
      <c r="C4" s="34" t="s">
        <v>128</v>
      </c>
      <c r="K4" s="31" t="s">
        <v>129</v>
      </c>
      <c r="L4" s="32">
        <f>COUNTIF(F12:F99,"X")</f>
        <v>8</v>
      </c>
    </row>
    <row r="5">
      <c r="B5" s="33" t="s">
        <v>130</v>
      </c>
      <c r="C5" s="34" t="s">
        <v>131</v>
      </c>
      <c r="K5" s="31" t="s">
        <v>134</v>
      </c>
      <c r="L5" s="35" t="str">
        <f>PERCENTOF(L4,L3)</f>
        <v>#NAME?</v>
      </c>
    </row>
    <row r="6">
      <c r="B6" s="33" t="s">
        <v>132</v>
      </c>
      <c r="C6" s="34" t="s">
        <v>133</v>
      </c>
    </row>
    <row r="7">
      <c r="B7" s="66" t="s">
        <v>135</v>
      </c>
      <c r="D7" s="34" t="s">
        <v>136</v>
      </c>
    </row>
    <row r="8">
      <c r="B8" s="66"/>
      <c r="C8" s="66"/>
      <c r="D8" s="34"/>
    </row>
    <row r="9" ht="18.75" customHeight="1">
      <c r="B9" s="232" t="s">
        <v>1095</v>
      </c>
      <c r="E9" s="175"/>
      <c r="F9" s="175"/>
      <c r="G9" s="175"/>
      <c r="H9" s="175"/>
      <c r="I9" s="175"/>
    </row>
    <row r="10">
      <c r="F10" s="37" t="s">
        <v>137</v>
      </c>
      <c r="G10" s="38"/>
      <c r="H10" s="39"/>
      <c r="I10" s="40" t="s">
        <v>250</v>
      </c>
    </row>
    <row r="11" ht="21.75" customHeight="1">
      <c r="B11" s="251" t="s">
        <v>1096</v>
      </c>
      <c r="C11" s="27"/>
      <c r="D11" s="27"/>
      <c r="E11" s="43"/>
      <c r="F11" s="44" t="s">
        <v>127</v>
      </c>
      <c r="G11" s="45" t="s">
        <v>130</v>
      </c>
      <c r="H11" s="45" t="s">
        <v>132</v>
      </c>
      <c r="I11" s="46"/>
      <c r="J11" s="67"/>
    </row>
    <row r="12" ht="11.25" customHeight="1">
      <c r="C12" s="177"/>
      <c r="F12" s="147"/>
      <c r="G12" s="147"/>
      <c r="H12" s="147"/>
      <c r="I12" s="147"/>
    </row>
    <row r="13">
      <c r="A13" s="252"/>
      <c r="B13" s="253">
        <v>1.0</v>
      </c>
      <c r="C13" s="254" t="s">
        <v>1097</v>
      </c>
      <c r="D13" s="255"/>
      <c r="E13" s="54"/>
      <c r="F13" s="151" t="s">
        <v>141</v>
      </c>
      <c r="G13" s="151"/>
      <c r="H13" s="151"/>
      <c r="I13" s="209" t="s">
        <v>702</v>
      </c>
    </row>
    <row r="14">
      <c r="A14" s="252"/>
      <c r="B14" s="256">
        <v>2.0</v>
      </c>
      <c r="C14" s="254" t="s">
        <v>1098</v>
      </c>
      <c r="D14" s="255"/>
      <c r="E14" s="54"/>
      <c r="F14" s="151" t="s">
        <v>141</v>
      </c>
      <c r="G14" s="151"/>
      <c r="H14" s="151"/>
      <c r="I14" s="209" t="s">
        <v>702</v>
      </c>
    </row>
    <row r="15">
      <c r="A15" s="252"/>
      <c r="B15" s="257">
        <v>3.0</v>
      </c>
      <c r="C15" s="258" t="s">
        <v>1099</v>
      </c>
      <c r="D15" s="259"/>
      <c r="F15" s="151" t="s">
        <v>141</v>
      </c>
      <c r="G15" s="151"/>
      <c r="H15" s="151"/>
      <c r="I15" s="209" t="s">
        <v>702</v>
      </c>
    </row>
    <row r="16">
      <c r="B16" s="257">
        <v>4.0</v>
      </c>
      <c r="C16" s="260" t="s">
        <v>1100</v>
      </c>
      <c r="D16" s="259"/>
      <c r="F16" s="151" t="s">
        <v>141</v>
      </c>
      <c r="G16" s="151"/>
      <c r="H16" s="151"/>
      <c r="I16" s="209" t="s">
        <v>702</v>
      </c>
    </row>
    <row r="17">
      <c r="B17" s="257">
        <v>5.0</v>
      </c>
      <c r="C17" s="260" t="s">
        <v>1101</v>
      </c>
      <c r="D17" s="259"/>
      <c r="F17" s="151" t="s">
        <v>141</v>
      </c>
      <c r="G17" s="151"/>
      <c r="H17" s="151"/>
      <c r="I17" s="209" t="s">
        <v>702</v>
      </c>
    </row>
    <row r="18">
      <c r="B18" s="257">
        <v>6.0</v>
      </c>
      <c r="C18" s="260" t="s">
        <v>1102</v>
      </c>
      <c r="D18" s="259"/>
      <c r="F18" s="151" t="s">
        <v>141</v>
      </c>
      <c r="G18" s="151"/>
      <c r="H18" s="151"/>
      <c r="I18" s="209" t="s">
        <v>702</v>
      </c>
    </row>
    <row r="19">
      <c r="B19" s="257">
        <v>7.0</v>
      </c>
      <c r="C19" s="260" t="s">
        <v>1103</v>
      </c>
      <c r="D19" s="259"/>
      <c r="F19" s="151" t="s">
        <v>141</v>
      </c>
      <c r="G19" s="151"/>
      <c r="H19" s="151"/>
      <c r="I19" s="209" t="s">
        <v>702</v>
      </c>
    </row>
    <row r="20">
      <c r="B20" s="257">
        <v>8.0</v>
      </c>
      <c r="C20" s="260" t="s">
        <v>1104</v>
      </c>
      <c r="D20" s="259"/>
      <c r="F20" s="151" t="s">
        <v>141</v>
      </c>
      <c r="G20" s="151"/>
      <c r="H20" s="151"/>
      <c r="I20" s="209" t="s">
        <v>702</v>
      </c>
    </row>
    <row r="21" ht="15.75" customHeight="1">
      <c r="B21" s="261"/>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2:I2"/>
    <mergeCell ref="K2:L2"/>
    <mergeCell ref="C4:D4"/>
    <mergeCell ref="C5:D5"/>
    <mergeCell ref="C6:D6"/>
    <mergeCell ref="B7:C7"/>
    <mergeCell ref="B9:D9"/>
    <mergeCell ref="C16:D16"/>
    <mergeCell ref="C17:D17"/>
    <mergeCell ref="C18:D18"/>
    <mergeCell ref="C19:D19"/>
    <mergeCell ref="C20:D20"/>
    <mergeCell ref="F10:H10"/>
    <mergeCell ref="I10:I11"/>
    <mergeCell ref="B11:D11"/>
    <mergeCell ref="C12:D12"/>
    <mergeCell ref="C13:D13"/>
    <mergeCell ref="C14:D14"/>
    <mergeCell ref="C15:D15"/>
  </mergeCells>
  <printOptions/>
  <pageMargins bottom="0.75" footer="0.0" header="0.0" left="0.7" right="0.7" top="0.75"/>
  <pageSetup paperSize="9" orientation="portrait"/>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000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26" width="11.43"/>
  </cols>
  <sheetData>
    <row r="2" ht="21.75" customHeight="1">
      <c r="B2" s="26" t="s">
        <v>124</v>
      </c>
      <c r="C2" s="27"/>
      <c r="D2" s="27"/>
      <c r="E2" s="27"/>
      <c r="F2" s="27"/>
      <c r="G2" s="27"/>
      <c r="H2" s="27"/>
      <c r="I2" s="27"/>
      <c r="K2" s="250" t="s">
        <v>125</v>
      </c>
      <c r="L2" s="29"/>
    </row>
    <row r="3" ht="15.0" customHeight="1">
      <c r="K3" s="31" t="s">
        <v>126</v>
      </c>
      <c r="L3" s="32">
        <f>COUNT(B12:D100)</f>
        <v>24</v>
      </c>
    </row>
    <row r="4">
      <c r="B4" s="33" t="s">
        <v>127</v>
      </c>
      <c r="C4" s="34" t="s">
        <v>128</v>
      </c>
      <c r="K4" s="31" t="s">
        <v>129</v>
      </c>
      <c r="L4" s="32">
        <f>COUNTIF(F12:F100,"X")</f>
        <v>24</v>
      </c>
    </row>
    <row r="5">
      <c r="B5" s="33" t="s">
        <v>130</v>
      </c>
      <c r="C5" s="34" t="s">
        <v>131</v>
      </c>
      <c r="K5" s="31" t="s">
        <v>134</v>
      </c>
      <c r="L5" s="35" t="str">
        <f>PERCENTOF(L4,L3)</f>
        <v>#NAME?</v>
      </c>
    </row>
    <row r="6">
      <c r="B6" s="33" t="s">
        <v>132</v>
      </c>
      <c r="C6" s="34" t="s">
        <v>133</v>
      </c>
    </row>
    <row r="7">
      <c r="B7" s="66" t="s">
        <v>135</v>
      </c>
      <c r="D7" s="34" t="s">
        <v>136</v>
      </c>
    </row>
    <row r="8">
      <c r="B8" s="66"/>
      <c r="C8" s="66"/>
      <c r="D8" s="34"/>
    </row>
    <row r="9" ht="18.75" customHeight="1">
      <c r="B9" s="232" t="s">
        <v>1095</v>
      </c>
      <c r="E9" s="175"/>
      <c r="F9" s="175"/>
      <c r="G9" s="175"/>
      <c r="H9" s="175"/>
      <c r="I9" s="175"/>
    </row>
    <row r="10">
      <c r="F10" s="37" t="s">
        <v>137</v>
      </c>
      <c r="G10" s="38"/>
      <c r="H10" s="39"/>
      <c r="I10" s="40" t="s">
        <v>250</v>
      </c>
    </row>
    <row r="11" ht="21.75" customHeight="1">
      <c r="B11" s="251" t="s">
        <v>1105</v>
      </c>
      <c r="C11" s="27"/>
      <c r="D11" s="27"/>
      <c r="E11" s="43"/>
      <c r="F11" s="44" t="s">
        <v>127</v>
      </c>
      <c r="G11" s="45" t="s">
        <v>130</v>
      </c>
      <c r="H11" s="45" t="s">
        <v>132</v>
      </c>
      <c r="I11" s="46"/>
      <c r="J11" s="67"/>
    </row>
    <row r="12" ht="11.25" customHeight="1">
      <c r="C12" s="177"/>
      <c r="F12" s="147"/>
      <c r="G12" s="147"/>
      <c r="H12" s="147"/>
      <c r="I12" s="147"/>
    </row>
    <row r="13">
      <c r="A13" s="252"/>
      <c r="B13" s="253">
        <v>1.0</v>
      </c>
      <c r="C13" s="262" t="s">
        <v>1106</v>
      </c>
      <c r="D13" s="255"/>
      <c r="E13" s="54"/>
      <c r="F13" s="151" t="s">
        <v>141</v>
      </c>
      <c r="G13" s="151"/>
      <c r="H13" s="151"/>
      <c r="I13" s="153"/>
    </row>
    <row r="14">
      <c r="A14" s="252"/>
      <c r="B14" s="256">
        <v>2.0</v>
      </c>
      <c r="C14" s="262" t="s">
        <v>1107</v>
      </c>
      <c r="D14" s="255"/>
      <c r="E14" s="54"/>
      <c r="F14" s="151" t="s">
        <v>141</v>
      </c>
      <c r="G14" s="151"/>
      <c r="H14" s="151"/>
      <c r="I14" s="153"/>
    </row>
    <row r="15">
      <c r="A15" s="252"/>
      <c r="B15" s="257">
        <v>3.0</v>
      </c>
      <c r="C15" s="263" t="s">
        <v>1108</v>
      </c>
      <c r="D15" s="259"/>
      <c r="F15" s="151" t="s">
        <v>141</v>
      </c>
      <c r="G15" s="151"/>
      <c r="H15" s="151"/>
      <c r="I15" s="153"/>
    </row>
    <row r="16">
      <c r="B16" s="257">
        <v>4.0</v>
      </c>
      <c r="C16" s="264" t="s">
        <v>1109</v>
      </c>
      <c r="D16" s="259"/>
      <c r="F16" s="151" t="s">
        <v>141</v>
      </c>
      <c r="G16" s="151"/>
      <c r="H16" s="151"/>
      <c r="I16" s="153"/>
    </row>
    <row r="17">
      <c r="B17" s="257">
        <v>5.0</v>
      </c>
      <c r="C17" s="264" t="s">
        <v>1110</v>
      </c>
      <c r="D17" s="259"/>
      <c r="F17" s="151" t="s">
        <v>141</v>
      </c>
      <c r="G17" s="151"/>
      <c r="H17" s="151"/>
      <c r="I17" s="153"/>
    </row>
    <row r="18" ht="18.75" customHeight="1">
      <c r="B18" s="253">
        <v>6.0</v>
      </c>
      <c r="C18" s="262" t="s">
        <v>1111</v>
      </c>
      <c r="D18" s="255"/>
      <c r="F18" s="151" t="s">
        <v>141</v>
      </c>
      <c r="G18" s="151"/>
      <c r="H18" s="151"/>
      <c r="I18" s="153"/>
    </row>
    <row r="19" ht="18.75" customHeight="1">
      <c r="B19" s="256">
        <v>7.0</v>
      </c>
      <c r="C19" s="262" t="s">
        <v>1112</v>
      </c>
      <c r="D19" s="255"/>
      <c r="F19" s="151" t="s">
        <v>141</v>
      </c>
      <c r="G19" s="151"/>
      <c r="H19" s="151"/>
      <c r="I19" s="153"/>
    </row>
    <row r="20" ht="18.75" customHeight="1">
      <c r="B20" s="257">
        <v>8.0</v>
      </c>
      <c r="C20" s="263" t="s">
        <v>1113</v>
      </c>
      <c r="D20" s="259"/>
      <c r="F20" s="151" t="s">
        <v>141</v>
      </c>
      <c r="G20" s="151"/>
      <c r="H20" s="151"/>
      <c r="I20" s="153"/>
    </row>
    <row r="21" ht="18.75" customHeight="1">
      <c r="B21" s="257">
        <v>9.0</v>
      </c>
      <c r="C21" s="264" t="s">
        <v>1114</v>
      </c>
      <c r="D21" s="259"/>
      <c r="F21" s="151" t="s">
        <v>141</v>
      </c>
      <c r="G21" s="151"/>
      <c r="H21" s="151"/>
      <c r="I21" s="153"/>
    </row>
    <row r="22" ht="18.75" customHeight="1">
      <c r="B22" s="257">
        <v>10.0</v>
      </c>
      <c r="C22" s="264" t="s">
        <v>1115</v>
      </c>
      <c r="D22" s="259"/>
      <c r="F22" s="151" t="s">
        <v>141</v>
      </c>
      <c r="G22" s="151"/>
      <c r="H22" s="151"/>
      <c r="I22" s="153"/>
    </row>
    <row r="23" ht="18.75" customHeight="1">
      <c r="B23" s="253">
        <v>11.0</v>
      </c>
      <c r="C23" s="262" t="s">
        <v>1116</v>
      </c>
      <c r="D23" s="255"/>
      <c r="F23" s="151" t="s">
        <v>141</v>
      </c>
      <c r="G23" s="151"/>
      <c r="H23" s="151"/>
      <c r="I23" s="153"/>
    </row>
    <row r="24" ht="18.75" customHeight="1">
      <c r="B24" s="256">
        <v>12.0</v>
      </c>
      <c r="C24" s="262" t="s">
        <v>1117</v>
      </c>
      <c r="D24" s="255"/>
      <c r="F24" s="151" t="s">
        <v>141</v>
      </c>
      <c r="G24" s="151"/>
      <c r="H24" s="151"/>
      <c r="I24" s="153"/>
    </row>
    <row r="25" ht="18.75" customHeight="1">
      <c r="B25" s="257">
        <v>13.0</v>
      </c>
      <c r="C25" s="263" t="s">
        <v>1118</v>
      </c>
      <c r="D25" s="259"/>
      <c r="F25" s="151" t="s">
        <v>141</v>
      </c>
      <c r="G25" s="151"/>
      <c r="H25" s="151"/>
      <c r="I25" s="153"/>
    </row>
    <row r="26" ht="18.75" customHeight="1">
      <c r="B26" s="257">
        <v>14.0</v>
      </c>
      <c r="C26" s="264" t="s">
        <v>1119</v>
      </c>
      <c r="D26" s="259"/>
      <c r="F26" s="151" t="s">
        <v>141</v>
      </c>
      <c r="G26" s="151"/>
      <c r="H26" s="151"/>
      <c r="I26" s="153"/>
    </row>
    <row r="27" ht="18.75" customHeight="1">
      <c r="B27" s="257">
        <v>15.0</v>
      </c>
      <c r="C27" s="264" t="s">
        <v>1120</v>
      </c>
      <c r="D27" s="259"/>
      <c r="F27" s="151" t="s">
        <v>141</v>
      </c>
      <c r="G27" s="151"/>
      <c r="H27" s="151"/>
      <c r="I27" s="153"/>
    </row>
    <row r="28" ht="18.75" customHeight="1">
      <c r="B28" s="253">
        <v>16.0</v>
      </c>
      <c r="C28" s="262" t="s">
        <v>1121</v>
      </c>
      <c r="D28" s="255"/>
      <c r="F28" s="151" t="s">
        <v>141</v>
      </c>
      <c r="G28" s="151"/>
      <c r="H28" s="151"/>
      <c r="I28" s="153"/>
    </row>
    <row r="29" ht="18.75" customHeight="1">
      <c r="B29" s="256">
        <v>17.0</v>
      </c>
      <c r="C29" s="262" t="s">
        <v>1122</v>
      </c>
      <c r="D29" s="255"/>
      <c r="F29" s="151" t="s">
        <v>141</v>
      </c>
      <c r="G29" s="151"/>
      <c r="H29" s="151"/>
      <c r="I29" s="153"/>
    </row>
    <row r="30" ht="18.75" customHeight="1">
      <c r="B30" s="257">
        <v>18.0</v>
      </c>
      <c r="C30" s="263" t="s">
        <v>1123</v>
      </c>
      <c r="D30" s="259"/>
      <c r="F30" s="151" t="s">
        <v>141</v>
      </c>
      <c r="G30" s="151"/>
      <c r="H30" s="151"/>
      <c r="I30" s="153"/>
    </row>
    <row r="31" ht="18.75" customHeight="1">
      <c r="B31" s="257">
        <v>19.0</v>
      </c>
      <c r="C31" s="264" t="s">
        <v>1124</v>
      </c>
      <c r="D31" s="259"/>
      <c r="F31" s="151" t="s">
        <v>141</v>
      </c>
      <c r="G31" s="151"/>
      <c r="H31" s="151"/>
      <c r="I31" s="153"/>
    </row>
    <row r="32" ht="18.75" customHeight="1">
      <c r="B32" s="257">
        <v>20.0</v>
      </c>
      <c r="C32" s="264" t="s">
        <v>1125</v>
      </c>
      <c r="D32" s="259"/>
      <c r="F32" s="151" t="s">
        <v>141</v>
      </c>
      <c r="G32" s="151"/>
      <c r="H32" s="151"/>
      <c r="I32" s="153"/>
    </row>
    <row r="33" ht="18.75" customHeight="1">
      <c r="B33" s="253">
        <v>21.0</v>
      </c>
      <c r="C33" s="262" t="s">
        <v>1126</v>
      </c>
      <c r="D33" s="255"/>
      <c r="F33" s="151" t="s">
        <v>141</v>
      </c>
      <c r="G33" s="151"/>
      <c r="H33" s="151"/>
      <c r="I33" s="153"/>
    </row>
    <row r="34" ht="18.75" customHeight="1">
      <c r="B34" s="256">
        <v>22.0</v>
      </c>
      <c r="C34" s="262" t="s">
        <v>1127</v>
      </c>
      <c r="D34" s="255"/>
      <c r="F34" s="151" t="s">
        <v>141</v>
      </c>
      <c r="G34" s="151"/>
      <c r="H34" s="151"/>
      <c r="I34" s="153"/>
    </row>
    <row r="35" ht="18.75" customHeight="1">
      <c r="B35" s="257">
        <v>23.0</v>
      </c>
      <c r="C35" s="263" t="s">
        <v>1128</v>
      </c>
      <c r="D35" s="259"/>
      <c r="F35" s="151" t="s">
        <v>141</v>
      </c>
      <c r="G35" s="151"/>
      <c r="H35" s="151"/>
      <c r="I35" s="153"/>
    </row>
    <row r="36" ht="18.75" customHeight="1">
      <c r="B36" s="257">
        <v>24.0</v>
      </c>
      <c r="C36" s="264" t="s">
        <v>1129</v>
      </c>
      <c r="D36" s="259"/>
      <c r="F36" s="151" t="s">
        <v>141</v>
      </c>
      <c r="G36" s="151"/>
      <c r="H36" s="151"/>
      <c r="I36" s="153"/>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16:D16"/>
    <mergeCell ref="C17:D17"/>
    <mergeCell ref="C18:D18"/>
    <mergeCell ref="C19:D19"/>
    <mergeCell ref="C20:D20"/>
    <mergeCell ref="C21:D21"/>
    <mergeCell ref="C22:D22"/>
    <mergeCell ref="C30:D30"/>
    <mergeCell ref="C31:D31"/>
    <mergeCell ref="C32:D32"/>
    <mergeCell ref="C33:D33"/>
    <mergeCell ref="C34:D34"/>
    <mergeCell ref="C35:D35"/>
    <mergeCell ref="C36:D36"/>
    <mergeCell ref="C23:D23"/>
    <mergeCell ref="C24:D24"/>
    <mergeCell ref="C25:D25"/>
    <mergeCell ref="C26:D26"/>
    <mergeCell ref="C27:D27"/>
    <mergeCell ref="C28:D28"/>
    <mergeCell ref="C29:D29"/>
  </mergeCells>
  <printOptions/>
  <pageMargins bottom="0.75" footer="0.0" header="0.0" left="0.7" right="0.7" top="0.75"/>
  <pageSetup paperSize="9" orientation="portrait"/>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60606"/>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44.71"/>
    <col customWidth="1" min="5" max="5" width="4.29"/>
    <col customWidth="1" min="6" max="8" width="7.14"/>
    <col customWidth="1" min="9" max="9" width="86.29"/>
    <col customWidth="1" min="10" max="26" width="11.43"/>
  </cols>
  <sheetData>
    <row r="2" ht="21.75" customHeight="1">
      <c r="B2" s="26" t="s">
        <v>124</v>
      </c>
      <c r="C2" s="27"/>
      <c r="D2" s="27"/>
      <c r="E2" s="27"/>
      <c r="F2" s="27"/>
      <c r="G2" s="27"/>
      <c r="H2" s="27"/>
      <c r="I2" s="27"/>
      <c r="K2" s="265" t="s">
        <v>125</v>
      </c>
      <c r="L2" s="29"/>
    </row>
    <row r="3" ht="15.0" customHeight="1">
      <c r="K3" s="31" t="s">
        <v>126</v>
      </c>
      <c r="L3" s="32">
        <f>COUNT(B12:D97)</f>
        <v>22</v>
      </c>
    </row>
    <row r="4">
      <c r="B4" s="33" t="s">
        <v>127</v>
      </c>
      <c r="C4" s="34" t="s">
        <v>128</v>
      </c>
      <c r="K4" s="31" t="s">
        <v>129</v>
      </c>
      <c r="L4" s="32">
        <f>COUNTIF(F12:F97,"X")</f>
        <v>22</v>
      </c>
    </row>
    <row r="5">
      <c r="B5" s="33" t="s">
        <v>130</v>
      </c>
      <c r="C5" s="34" t="s">
        <v>131</v>
      </c>
      <c r="K5" s="31" t="s">
        <v>134</v>
      </c>
      <c r="L5" s="32" t="str">
        <f>PERCENTOF(L4,L3)</f>
        <v>#NAME?</v>
      </c>
    </row>
    <row r="6">
      <c r="B6" s="33" t="s">
        <v>132</v>
      </c>
      <c r="C6" s="34" t="s">
        <v>133</v>
      </c>
    </row>
    <row r="7">
      <c r="B7" s="66" t="s">
        <v>135</v>
      </c>
      <c r="D7" s="34" t="s">
        <v>136</v>
      </c>
    </row>
    <row r="8">
      <c r="B8" s="66"/>
      <c r="C8" s="66"/>
      <c r="D8" s="34"/>
    </row>
    <row r="9" ht="18.75" customHeight="1">
      <c r="B9" s="232" t="s">
        <v>1095</v>
      </c>
      <c r="E9" s="175"/>
      <c r="F9" s="175"/>
      <c r="G9" s="175"/>
      <c r="H9" s="175"/>
      <c r="I9" s="175"/>
    </row>
    <row r="10">
      <c r="F10" s="37" t="s">
        <v>137</v>
      </c>
      <c r="G10" s="38"/>
      <c r="H10" s="39"/>
      <c r="I10" s="40" t="s">
        <v>250</v>
      </c>
    </row>
    <row r="11" ht="21.75" customHeight="1">
      <c r="B11" s="266" t="s">
        <v>1130</v>
      </c>
      <c r="C11" s="27"/>
      <c r="D11" s="27"/>
      <c r="E11" s="43"/>
      <c r="F11" s="44" t="s">
        <v>127</v>
      </c>
      <c r="G11" s="45" t="s">
        <v>130</v>
      </c>
      <c r="H11" s="45" t="s">
        <v>132</v>
      </c>
      <c r="I11" s="46"/>
      <c r="J11" s="67"/>
    </row>
    <row r="12" ht="11.25" customHeight="1">
      <c r="C12" s="177"/>
      <c r="F12" s="51"/>
      <c r="G12" s="51"/>
      <c r="H12" s="51"/>
      <c r="I12" s="51"/>
    </row>
    <row r="13">
      <c r="B13" s="267">
        <v>1.0</v>
      </c>
      <c r="C13" s="268" t="s">
        <v>1131</v>
      </c>
      <c r="D13" s="269"/>
      <c r="E13" s="65"/>
      <c r="F13" s="270" t="s">
        <v>169</v>
      </c>
      <c r="G13" s="271"/>
      <c r="H13" s="272"/>
      <c r="I13" s="273" t="s">
        <v>702</v>
      </c>
    </row>
    <row r="14">
      <c r="A14" s="274"/>
      <c r="B14" s="275">
        <v>2.0</v>
      </c>
      <c r="C14" s="268" t="s">
        <v>1132</v>
      </c>
      <c r="D14" s="269"/>
      <c r="E14" s="65"/>
      <c r="F14" s="276" t="s">
        <v>169</v>
      </c>
      <c r="G14" s="277"/>
      <c r="H14" s="272"/>
      <c r="I14" s="278" t="s">
        <v>702</v>
      </c>
    </row>
    <row r="15" ht="44.25" customHeight="1">
      <c r="B15" s="279">
        <v>3.0</v>
      </c>
      <c r="C15" s="268" t="s">
        <v>1133</v>
      </c>
      <c r="D15" s="269"/>
      <c r="E15" s="280"/>
      <c r="F15" s="281" t="s">
        <v>169</v>
      </c>
      <c r="G15" s="282"/>
      <c r="H15" s="272"/>
      <c r="I15" s="283" t="s">
        <v>702</v>
      </c>
    </row>
    <row r="16" ht="20.25" customHeight="1">
      <c r="B16" s="284">
        <v>4.0</v>
      </c>
      <c r="C16" s="268" t="s">
        <v>1134</v>
      </c>
      <c r="D16" s="269"/>
      <c r="E16" s="280"/>
      <c r="F16" s="285" t="s">
        <v>169</v>
      </c>
      <c r="G16" s="286"/>
      <c r="H16" s="272"/>
      <c r="I16" s="287" t="s">
        <v>1135</v>
      </c>
    </row>
    <row r="17">
      <c r="B17" s="284">
        <v>5.0</v>
      </c>
      <c r="C17" s="288" t="s">
        <v>1136</v>
      </c>
      <c r="D17" s="269"/>
      <c r="E17" s="280"/>
      <c r="F17" s="281" t="s">
        <v>169</v>
      </c>
      <c r="G17" s="289"/>
      <c r="H17" s="272"/>
      <c r="I17" s="290" t="s">
        <v>702</v>
      </c>
    </row>
    <row r="18">
      <c r="B18" s="284">
        <v>6.0</v>
      </c>
      <c r="C18" s="288" t="s">
        <v>1137</v>
      </c>
      <c r="D18" s="269"/>
      <c r="E18" s="280"/>
      <c r="F18" s="281" t="s">
        <v>169</v>
      </c>
      <c r="G18" s="289"/>
      <c r="H18" s="272"/>
      <c r="I18" s="290" t="s">
        <v>1138</v>
      </c>
    </row>
    <row r="19">
      <c r="B19" s="284">
        <v>7.0</v>
      </c>
      <c r="C19" s="288" t="s">
        <v>1139</v>
      </c>
      <c r="D19" s="269"/>
      <c r="E19" s="280"/>
      <c r="F19" s="281" t="s">
        <v>169</v>
      </c>
      <c r="G19" s="289"/>
      <c r="H19" s="272"/>
      <c r="I19" s="290" t="s">
        <v>702</v>
      </c>
    </row>
    <row r="20">
      <c r="B20" s="284">
        <v>8.0</v>
      </c>
      <c r="C20" s="288" t="s">
        <v>1140</v>
      </c>
      <c r="D20" s="269"/>
      <c r="E20" s="280"/>
      <c r="F20" s="281" t="s">
        <v>169</v>
      </c>
      <c r="G20" s="289"/>
      <c r="H20" s="272"/>
      <c r="I20" s="290" t="s">
        <v>702</v>
      </c>
    </row>
    <row r="21" ht="15.75" customHeight="1">
      <c r="B21" s="284">
        <v>9.0</v>
      </c>
      <c r="C21" s="288" t="s">
        <v>1141</v>
      </c>
      <c r="D21" s="269"/>
      <c r="E21" s="280"/>
      <c r="F21" s="281" t="s">
        <v>169</v>
      </c>
      <c r="G21" s="289"/>
      <c r="H21" s="272"/>
      <c r="I21" s="290" t="s">
        <v>702</v>
      </c>
    </row>
    <row r="22" ht="15.75" customHeight="1">
      <c r="B22" s="284">
        <v>10.0</v>
      </c>
      <c r="C22" s="288" t="s">
        <v>1142</v>
      </c>
      <c r="D22" s="269"/>
      <c r="E22" s="280"/>
      <c r="F22" s="281" t="s">
        <v>169</v>
      </c>
      <c r="G22" s="289"/>
      <c r="H22" s="272"/>
      <c r="I22" s="290" t="s">
        <v>702</v>
      </c>
    </row>
    <row r="23" ht="15.75" customHeight="1">
      <c r="B23" s="284">
        <v>11.0</v>
      </c>
      <c r="C23" s="288" t="s">
        <v>1143</v>
      </c>
      <c r="D23" s="269"/>
      <c r="E23" s="280"/>
      <c r="F23" s="281" t="s">
        <v>169</v>
      </c>
      <c r="G23" s="289"/>
      <c r="H23" s="272"/>
      <c r="I23" s="290" t="s">
        <v>702</v>
      </c>
    </row>
    <row r="24" ht="21.0" customHeight="1">
      <c r="B24" s="284">
        <v>12.0</v>
      </c>
      <c r="C24" s="288" t="s">
        <v>1144</v>
      </c>
      <c r="D24" s="269"/>
      <c r="E24" s="280"/>
      <c r="F24" s="281" t="s">
        <v>169</v>
      </c>
      <c r="G24" s="289"/>
      <c r="H24" s="272"/>
      <c r="I24" s="290" t="s">
        <v>702</v>
      </c>
    </row>
    <row r="25" ht="15.75" customHeight="1">
      <c r="B25" s="284">
        <v>13.0</v>
      </c>
      <c r="C25" s="291" t="s">
        <v>1145</v>
      </c>
      <c r="D25" s="269"/>
      <c r="E25" s="280"/>
      <c r="F25" s="281" t="s">
        <v>169</v>
      </c>
      <c r="G25" s="289"/>
      <c r="H25" s="272"/>
      <c r="I25" s="290" t="s">
        <v>702</v>
      </c>
    </row>
    <row r="26" ht="15.75" customHeight="1">
      <c r="B26" s="284">
        <v>14.0</v>
      </c>
      <c r="C26" s="288" t="s">
        <v>1146</v>
      </c>
      <c r="D26" s="269"/>
      <c r="E26" s="280"/>
      <c r="F26" s="281" t="s">
        <v>169</v>
      </c>
      <c r="G26" s="289"/>
      <c r="H26" s="272"/>
      <c r="I26" s="290" t="s">
        <v>1147</v>
      </c>
    </row>
    <row r="27" ht="15.75" customHeight="1">
      <c r="B27" s="284">
        <v>15.0</v>
      </c>
      <c r="C27" s="291" t="s">
        <v>1148</v>
      </c>
      <c r="D27" s="269"/>
      <c r="E27" s="280"/>
      <c r="F27" s="281" t="s">
        <v>169</v>
      </c>
      <c r="G27" s="289"/>
      <c r="H27" s="272"/>
      <c r="I27" s="290" t="s">
        <v>702</v>
      </c>
    </row>
    <row r="28" ht="15.75" customHeight="1">
      <c r="B28" s="284">
        <v>16.0</v>
      </c>
      <c r="C28" s="288" t="s">
        <v>1149</v>
      </c>
      <c r="D28" s="269"/>
      <c r="E28" s="280"/>
      <c r="F28" s="281" t="s">
        <v>169</v>
      </c>
      <c r="G28" s="289"/>
      <c r="H28" s="272"/>
      <c r="I28" s="290" t="s">
        <v>1150</v>
      </c>
    </row>
    <row r="29" ht="15.75" customHeight="1">
      <c r="B29" s="284">
        <v>17.0</v>
      </c>
      <c r="C29" s="291" t="s">
        <v>1151</v>
      </c>
      <c r="D29" s="269"/>
      <c r="E29" s="280"/>
      <c r="F29" s="281" t="s">
        <v>169</v>
      </c>
      <c r="G29" s="289"/>
      <c r="H29" s="272"/>
      <c r="I29" s="290" t="s">
        <v>702</v>
      </c>
    </row>
    <row r="30" ht="15.75" customHeight="1">
      <c r="B30" s="284">
        <v>18.0</v>
      </c>
      <c r="C30" s="288" t="s">
        <v>1152</v>
      </c>
      <c r="D30" s="269"/>
      <c r="E30" s="280"/>
      <c r="F30" s="281" t="s">
        <v>169</v>
      </c>
      <c r="G30" s="289"/>
      <c r="H30" s="272"/>
      <c r="I30" s="290" t="s">
        <v>702</v>
      </c>
    </row>
    <row r="31" ht="15.75" customHeight="1">
      <c r="B31" s="284">
        <v>19.0</v>
      </c>
      <c r="C31" s="291" t="s">
        <v>1153</v>
      </c>
      <c r="D31" s="269"/>
      <c r="E31" s="280"/>
      <c r="F31" s="281" t="s">
        <v>169</v>
      </c>
      <c r="G31" s="289"/>
      <c r="H31" s="272"/>
      <c r="I31" s="290" t="s">
        <v>702</v>
      </c>
    </row>
    <row r="32" ht="15.75" customHeight="1">
      <c r="B32" s="292">
        <v>20.0</v>
      </c>
      <c r="C32" s="288" t="s">
        <v>1154</v>
      </c>
      <c r="D32" s="269"/>
      <c r="E32" s="280"/>
      <c r="F32" s="281" t="s">
        <v>169</v>
      </c>
      <c r="G32" s="289"/>
      <c r="H32" s="272"/>
      <c r="I32" s="290" t="s">
        <v>702</v>
      </c>
    </row>
    <row r="33" ht="15.75" customHeight="1">
      <c r="B33" s="279">
        <v>21.0</v>
      </c>
      <c r="C33" s="291" t="s">
        <v>1155</v>
      </c>
      <c r="D33" s="269"/>
      <c r="E33" s="280"/>
      <c r="F33" s="281" t="s">
        <v>169</v>
      </c>
      <c r="G33" s="289"/>
      <c r="H33" s="272"/>
      <c r="I33" s="290" t="s">
        <v>702</v>
      </c>
    </row>
    <row r="34">
      <c r="B34" s="284">
        <v>23.0</v>
      </c>
      <c r="C34" s="293" t="s">
        <v>1156</v>
      </c>
      <c r="D34" s="269"/>
      <c r="E34" s="280"/>
      <c r="F34" s="281" t="s">
        <v>169</v>
      </c>
      <c r="G34" s="289"/>
      <c r="H34" s="272"/>
      <c r="I34" s="290" t="s">
        <v>1157</v>
      </c>
    </row>
    <row r="35" ht="15.75" customHeight="1">
      <c r="C35" s="280"/>
      <c r="D35" s="280"/>
      <c r="E35" s="280"/>
      <c r="F35" s="280"/>
      <c r="G35" s="280"/>
      <c r="H35" s="280"/>
      <c r="I35" s="280"/>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3">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16:D16"/>
    <mergeCell ref="C17:D17"/>
    <mergeCell ref="C18:D18"/>
    <mergeCell ref="C19:D19"/>
    <mergeCell ref="C20:D20"/>
    <mergeCell ref="C21:D21"/>
    <mergeCell ref="C22:D22"/>
    <mergeCell ref="C30:D30"/>
    <mergeCell ref="C31:D31"/>
    <mergeCell ref="C32:D32"/>
    <mergeCell ref="C33:D33"/>
    <mergeCell ref="C34:D34"/>
    <mergeCell ref="C23:D23"/>
    <mergeCell ref="C24:D24"/>
    <mergeCell ref="C25:D25"/>
    <mergeCell ref="C26:D26"/>
    <mergeCell ref="C27:D27"/>
    <mergeCell ref="C28:D28"/>
    <mergeCell ref="C29:D29"/>
  </mergeCells>
  <printOptions/>
  <pageMargins bottom="0.75" footer="0.0" header="0.0" left="0.7" right="0.7" top="0.75"/>
  <pageSetup paperSize="9" orientation="portrait"/>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60606"/>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51.14"/>
    <col customWidth="1" min="5" max="5" width="4.29"/>
    <col customWidth="1" min="6" max="8" width="7.14"/>
    <col customWidth="1" min="9" max="9" width="85.71"/>
    <col customWidth="1" min="10" max="26" width="11.43"/>
  </cols>
  <sheetData>
    <row r="2" ht="21.75" customHeight="1">
      <c r="B2" s="26" t="s">
        <v>124</v>
      </c>
      <c r="C2" s="27"/>
      <c r="D2" s="27"/>
      <c r="E2" s="27"/>
      <c r="F2" s="27"/>
      <c r="G2" s="27"/>
      <c r="H2" s="27"/>
      <c r="I2" s="27"/>
      <c r="K2" s="265" t="s">
        <v>125</v>
      </c>
      <c r="L2" s="29"/>
    </row>
    <row r="3" ht="15.0" customHeight="1">
      <c r="K3" s="31" t="s">
        <v>126</v>
      </c>
      <c r="L3" s="32">
        <f>COUNT(B12:D99)</f>
        <v>19</v>
      </c>
    </row>
    <row r="4">
      <c r="B4" s="33" t="s">
        <v>127</v>
      </c>
      <c r="C4" s="34" t="s">
        <v>128</v>
      </c>
      <c r="K4" s="31" t="s">
        <v>129</v>
      </c>
      <c r="L4" s="32">
        <f>COUNTIF(F12:F99,"X")</f>
        <v>19</v>
      </c>
    </row>
    <row r="5">
      <c r="B5" s="33" t="s">
        <v>130</v>
      </c>
      <c r="C5" s="34" t="s">
        <v>131</v>
      </c>
      <c r="K5" s="31" t="s">
        <v>134</v>
      </c>
      <c r="L5" s="32" t="str">
        <f>PERCENTOF(L4,L3)</f>
        <v>#NAME?</v>
      </c>
    </row>
    <row r="6">
      <c r="B6" s="33" t="s">
        <v>132</v>
      </c>
      <c r="C6" s="34" t="s">
        <v>133</v>
      </c>
    </row>
    <row r="7">
      <c r="B7" s="66" t="s">
        <v>135</v>
      </c>
      <c r="D7" s="34" t="s">
        <v>136</v>
      </c>
    </row>
    <row r="8">
      <c r="B8" s="66"/>
      <c r="C8" s="66"/>
      <c r="D8" s="34"/>
    </row>
    <row r="9" ht="18.75" customHeight="1">
      <c r="B9" s="232" t="s">
        <v>1095</v>
      </c>
      <c r="E9" s="175"/>
      <c r="F9" s="175"/>
      <c r="G9" s="175"/>
      <c r="H9" s="175"/>
      <c r="I9" s="175"/>
    </row>
    <row r="10">
      <c r="F10" s="37" t="s">
        <v>137</v>
      </c>
      <c r="G10" s="38"/>
      <c r="H10" s="39"/>
      <c r="I10" s="40" t="s">
        <v>250</v>
      </c>
    </row>
    <row r="11" ht="21.75" customHeight="1">
      <c r="B11" s="266" t="s">
        <v>1130</v>
      </c>
      <c r="C11" s="27"/>
      <c r="D11" s="27"/>
      <c r="E11" s="43"/>
      <c r="F11" s="44" t="s">
        <v>127</v>
      </c>
      <c r="G11" s="45" t="s">
        <v>130</v>
      </c>
      <c r="H11" s="45" t="s">
        <v>132</v>
      </c>
      <c r="I11" s="46"/>
      <c r="J11" s="67"/>
    </row>
    <row r="12" ht="11.25" customHeight="1">
      <c r="C12" s="177"/>
      <c r="F12" s="51"/>
      <c r="G12" s="51"/>
      <c r="H12" s="51"/>
      <c r="I12" s="51"/>
    </row>
    <row r="13">
      <c r="B13" s="267">
        <v>1.0</v>
      </c>
      <c r="C13" s="294" t="s">
        <v>1158</v>
      </c>
      <c r="D13" s="269"/>
      <c r="E13" s="54"/>
      <c r="F13" s="55" t="s">
        <v>169</v>
      </c>
      <c r="G13" s="31"/>
      <c r="H13" s="32"/>
      <c r="I13" s="31"/>
    </row>
    <row r="14">
      <c r="A14" s="274"/>
      <c r="B14" s="275">
        <v>2.0</v>
      </c>
      <c r="C14" s="294" t="s">
        <v>1159</v>
      </c>
      <c r="D14" s="269"/>
      <c r="E14" s="54"/>
      <c r="F14" s="55" t="s">
        <v>169</v>
      </c>
      <c r="G14" s="31"/>
      <c r="H14" s="32"/>
      <c r="I14" s="31"/>
    </row>
    <row r="15" ht="32.25" customHeight="1">
      <c r="B15" s="275">
        <v>3.0</v>
      </c>
      <c r="C15" s="294" t="s">
        <v>1160</v>
      </c>
      <c r="D15" s="269"/>
      <c r="F15" s="55" t="s">
        <v>169</v>
      </c>
      <c r="G15" s="31"/>
      <c r="H15" s="32"/>
      <c r="I15" s="31"/>
    </row>
    <row r="16" ht="20.25" customHeight="1">
      <c r="B16" s="295">
        <v>4.0</v>
      </c>
      <c r="C16" s="294" t="s">
        <v>1161</v>
      </c>
      <c r="D16" s="269"/>
      <c r="F16" s="296" t="s">
        <v>169</v>
      </c>
      <c r="G16" s="297"/>
      <c r="H16" s="32"/>
      <c r="I16" s="297"/>
    </row>
    <row r="17">
      <c r="B17" s="295">
        <v>5.0</v>
      </c>
      <c r="C17" s="298" t="s">
        <v>1162</v>
      </c>
      <c r="D17" s="269"/>
      <c r="F17" s="55" t="s">
        <v>169</v>
      </c>
      <c r="G17" s="31"/>
      <c r="H17" s="32"/>
      <c r="I17" s="31"/>
    </row>
    <row r="18">
      <c r="B18" s="295">
        <v>6.0</v>
      </c>
      <c r="C18" s="298" t="s">
        <v>1163</v>
      </c>
      <c r="D18" s="269"/>
      <c r="F18" s="55" t="s">
        <v>169</v>
      </c>
      <c r="G18" s="31"/>
      <c r="H18" s="32"/>
      <c r="I18" s="31"/>
    </row>
    <row r="19">
      <c r="B19" s="295">
        <v>7.0</v>
      </c>
      <c r="C19" s="298" t="s">
        <v>1164</v>
      </c>
      <c r="D19" s="269"/>
      <c r="F19" s="55" t="s">
        <v>169</v>
      </c>
      <c r="G19" s="31"/>
      <c r="H19" s="32"/>
      <c r="I19" s="31"/>
    </row>
    <row r="20">
      <c r="B20" s="295">
        <v>8.0</v>
      </c>
      <c r="C20" s="298" t="s">
        <v>1165</v>
      </c>
      <c r="D20" s="269"/>
      <c r="F20" s="55" t="s">
        <v>169</v>
      </c>
      <c r="G20" s="31"/>
      <c r="H20" s="32"/>
      <c r="I20" s="31"/>
    </row>
    <row r="21" ht="15.75" customHeight="1">
      <c r="B21" s="295">
        <v>9.0</v>
      </c>
      <c r="C21" s="298" t="s">
        <v>1166</v>
      </c>
      <c r="D21" s="269"/>
      <c r="F21" s="55" t="s">
        <v>169</v>
      </c>
      <c r="G21" s="31"/>
      <c r="H21" s="32"/>
      <c r="I21" s="31"/>
    </row>
    <row r="22" ht="15.75" customHeight="1">
      <c r="B22" s="295">
        <v>10.0</v>
      </c>
      <c r="C22" s="298" t="s">
        <v>1167</v>
      </c>
      <c r="D22" s="269"/>
      <c r="F22" s="55" t="s">
        <v>169</v>
      </c>
      <c r="G22" s="31"/>
      <c r="H22" s="32"/>
      <c r="I22" s="31"/>
    </row>
    <row r="23" ht="15.75" customHeight="1">
      <c r="B23" s="295">
        <v>11.0</v>
      </c>
      <c r="C23" s="298" t="s">
        <v>1168</v>
      </c>
      <c r="D23" s="269"/>
      <c r="F23" s="55" t="s">
        <v>169</v>
      </c>
      <c r="G23" s="31"/>
      <c r="H23" s="32"/>
      <c r="I23" s="31"/>
    </row>
    <row r="24" ht="15.75" customHeight="1">
      <c r="B24" s="295">
        <v>12.0</v>
      </c>
      <c r="C24" s="298" t="s">
        <v>1169</v>
      </c>
      <c r="D24" s="269"/>
      <c r="F24" s="55" t="s">
        <v>169</v>
      </c>
      <c r="G24" s="31"/>
      <c r="H24" s="32"/>
      <c r="I24" s="31"/>
    </row>
    <row r="25" ht="15.75" customHeight="1">
      <c r="B25" s="295">
        <v>13.0</v>
      </c>
      <c r="C25" s="298" t="s">
        <v>1170</v>
      </c>
      <c r="D25" s="269"/>
      <c r="F25" s="55" t="s">
        <v>169</v>
      </c>
      <c r="G25" s="31"/>
      <c r="H25" s="32"/>
      <c r="I25" s="31"/>
    </row>
    <row r="26" ht="15.75" customHeight="1">
      <c r="B26" s="295">
        <v>14.0</v>
      </c>
      <c r="C26" s="298" t="s">
        <v>1171</v>
      </c>
      <c r="D26" s="269"/>
      <c r="F26" s="55" t="s">
        <v>169</v>
      </c>
      <c r="G26" s="31"/>
      <c r="H26" s="32"/>
      <c r="I26" s="31"/>
    </row>
    <row r="27" ht="15.75" customHeight="1">
      <c r="B27" s="295">
        <v>15.0</v>
      </c>
      <c r="C27" s="298" t="s">
        <v>1172</v>
      </c>
      <c r="D27" s="269"/>
      <c r="F27" s="55" t="s">
        <v>169</v>
      </c>
      <c r="G27" s="31"/>
      <c r="H27" s="32"/>
      <c r="I27" s="31"/>
    </row>
    <row r="28" ht="15.75" customHeight="1">
      <c r="B28" s="295">
        <v>16.0</v>
      </c>
      <c r="C28" s="298" t="s">
        <v>1173</v>
      </c>
      <c r="D28" s="269"/>
      <c r="F28" s="55" t="s">
        <v>169</v>
      </c>
      <c r="G28" s="31"/>
      <c r="H28" s="32"/>
      <c r="I28" s="31"/>
    </row>
    <row r="29" ht="15.75" customHeight="1">
      <c r="B29" s="295">
        <v>18.0</v>
      </c>
      <c r="C29" s="298" t="s">
        <v>1174</v>
      </c>
      <c r="D29" s="269"/>
      <c r="F29" s="55" t="s">
        <v>169</v>
      </c>
      <c r="G29" s="31"/>
      <c r="H29" s="32"/>
      <c r="I29" s="31"/>
    </row>
    <row r="30" ht="15.75" customHeight="1">
      <c r="B30" s="295">
        <v>19.0</v>
      </c>
      <c r="C30" s="298" t="s">
        <v>1175</v>
      </c>
      <c r="D30" s="269"/>
      <c r="F30" s="55" t="s">
        <v>169</v>
      </c>
      <c r="G30" s="31"/>
      <c r="H30" s="32"/>
      <c r="I30" s="31"/>
    </row>
    <row r="31" ht="15.75" customHeight="1">
      <c r="B31" s="295">
        <v>19.0</v>
      </c>
      <c r="C31" s="298" t="s">
        <v>1176</v>
      </c>
      <c r="D31" s="269"/>
      <c r="F31" s="55" t="s">
        <v>169</v>
      </c>
      <c r="G31" s="31"/>
      <c r="H31" s="32"/>
      <c r="I31" s="31"/>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16:D16"/>
    <mergeCell ref="C17:D17"/>
    <mergeCell ref="C18:D18"/>
    <mergeCell ref="C19:D19"/>
    <mergeCell ref="C20:D20"/>
    <mergeCell ref="C21:D21"/>
    <mergeCell ref="C22:D22"/>
    <mergeCell ref="C30:D30"/>
    <mergeCell ref="C31:D31"/>
    <mergeCell ref="C23:D23"/>
    <mergeCell ref="C24:D24"/>
    <mergeCell ref="C25:D25"/>
    <mergeCell ref="C26:D26"/>
    <mergeCell ref="C27:D27"/>
    <mergeCell ref="C28:D28"/>
    <mergeCell ref="C29:D29"/>
  </mergeCells>
  <printOptions/>
  <pageMargins bottom="0.75" footer="0.0" header="0.0" left="0.7" right="0.7" top="0.75"/>
  <pageSetup paperSize="9" orientation="portrait"/>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11.43"/>
    <col customWidth="1" min="11" max="11" width="14.57"/>
    <col customWidth="1" min="12" max="26" width="11.43"/>
  </cols>
  <sheetData>
    <row r="2" ht="21.75" customHeight="1">
      <c r="B2" s="26" t="s">
        <v>124</v>
      </c>
      <c r="C2" s="27"/>
      <c r="D2" s="27"/>
      <c r="E2" s="27"/>
      <c r="F2" s="27"/>
      <c r="G2" s="27"/>
      <c r="H2" s="27"/>
      <c r="I2" s="27"/>
      <c r="K2" s="299" t="s">
        <v>125</v>
      </c>
      <c r="L2" s="29"/>
    </row>
    <row r="3" ht="15.0" customHeight="1">
      <c r="K3" s="31" t="s">
        <v>126</v>
      </c>
      <c r="L3" s="32">
        <f>COUNT(B12:D82)</f>
        <v>7</v>
      </c>
    </row>
    <row r="4">
      <c r="B4" s="33" t="s">
        <v>127</v>
      </c>
      <c r="C4" s="34" t="s">
        <v>128</v>
      </c>
      <c r="E4" s="34"/>
      <c r="K4" s="31" t="s">
        <v>129</v>
      </c>
      <c r="L4" s="32">
        <f>COUNTIF(F12:F82,"X")</f>
        <v>7</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00" t="s">
        <v>1177</v>
      </c>
      <c r="C10" s="301"/>
      <c r="D10" s="301"/>
      <c r="E10" s="302"/>
      <c r="F10" s="44" t="s">
        <v>127</v>
      </c>
      <c r="G10" s="45" t="s">
        <v>130</v>
      </c>
      <c r="H10" s="45" t="s">
        <v>132</v>
      </c>
      <c r="I10" s="46"/>
      <c r="J10" s="67"/>
    </row>
    <row r="11" ht="11.25" customHeight="1">
      <c r="C11" s="303"/>
      <c r="D11" s="304"/>
    </row>
    <row r="12" ht="41.25" customHeight="1">
      <c r="B12" s="305">
        <v>1.0</v>
      </c>
      <c r="C12" s="306" t="s">
        <v>1178</v>
      </c>
      <c r="D12" s="307"/>
      <c r="E12" s="54"/>
      <c r="F12" s="152" t="s">
        <v>169</v>
      </c>
      <c r="G12" s="151"/>
      <c r="H12" s="151"/>
      <c r="I12" s="209" t="s">
        <v>702</v>
      </c>
    </row>
    <row r="13" ht="40.5" customHeight="1">
      <c r="B13" s="305">
        <v>2.0</v>
      </c>
      <c r="C13" s="308" t="s">
        <v>1179</v>
      </c>
      <c r="D13" s="309"/>
      <c r="E13" s="54"/>
      <c r="F13" s="152" t="s">
        <v>169</v>
      </c>
      <c r="G13" s="151"/>
      <c r="H13" s="151"/>
      <c r="I13" s="209" t="s">
        <v>702</v>
      </c>
    </row>
    <row r="14" ht="42.0" customHeight="1">
      <c r="B14" s="310">
        <v>3.0</v>
      </c>
      <c r="C14" s="311" t="s">
        <v>1180</v>
      </c>
      <c r="D14" s="309"/>
      <c r="E14" s="54"/>
      <c r="F14" s="152" t="s">
        <v>169</v>
      </c>
      <c r="G14" s="151"/>
      <c r="H14" s="151"/>
      <c r="I14" s="209" t="s">
        <v>702</v>
      </c>
    </row>
    <row r="15">
      <c r="B15" s="312">
        <v>4.0</v>
      </c>
      <c r="C15" s="308" t="s">
        <v>1181</v>
      </c>
      <c r="D15" s="309"/>
      <c r="F15" s="152" t="s">
        <v>169</v>
      </c>
      <c r="G15" s="151"/>
      <c r="H15" s="151"/>
      <c r="I15" s="209" t="s">
        <v>702</v>
      </c>
    </row>
    <row r="16" ht="35.25" customHeight="1">
      <c r="B16" s="305">
        <v>5.0</v>
      </c>
      <c r="C16" s="308" t="s">
        <v>1182</v>
      </c>
      <c r="D16" s="309"/>
      <c r="F16" s="152" t="s">
        <v>169</v>
      </c>
      <c r="G16" s="151"/>
      <c r="H16" s="151"/>
      <c r="I16" s="209" t="s">
        <v>702</v>
      </c>
    </row>
    <row r="17" ht="21.75" customHeight="1">
      <c r="B17" s="305">
        <v>6.0</v>
      </c>
      <c r="C17" s="308" t="s">
        <v>1183</v>
      </c>
      <c r="D17" s="309"/>
      <c r="F17" s="152" t="s">
        <v>169</v>
      </c>
      <c r="G17" s="151"/>
      <c r="H17" s="151"/>
      <c r="I17" s="209" t="s">
        <v>702</v>
      </c>
    </row>
    <row r="18" ht="73.5" customHeight="1">
      <c r="B18" s="305">
        <v>7.0</v>
      </c>
      <c r="C18" s="306" t="s">
        <v>1184</v>
      </c>
      <c r="D18" s="307"/>
      <c r="F18" s="152" t="s">
        <v>169</v>
      </c>
      <c r="G18" s="167"/>
      <c r="H18" s="167"/>
      <c r="I18" s="313" t="s">
        <v>702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B2:I2"/>
    <mergeCell ref="K2:L2"/>
    <mergeCell ref="C4:D4"/>
    <mergeCell ref="C5:D5"/>
    <mergeCell ref="C6:D6"/>
    <mergeCell ref="F9:H9"/>
    <mergeCell ref="I9:I10"/>
    <mergeCell ref="C16:D16"/>
    <mergeCell ref="C17:D17"/>
    <mergeCell ref="C18:D18"/>
    <mergeCell ref="B7:C7"/>
    <mergeCell ref="B10:D10"/>
    <mergeCell ref="C11:D11"/>
    <mergeCell ref="C12:D12"/>
    <mergeCell ref="C13:D13"/>
    <mergeCell ref="C14:D14"/>
    <mergeCell ref="C15:D15"/>
  </mergeCells>
  <printOptions/>
  <pageMargins bottom="0.75" footer="0.0" header="0.0" left="0.7" right="0.7" top="0.75"/>
  <pageSetup orientation="landscape"/>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57"/>
    <col customWidth="1" min="12" max="26" width="11.43"/>
  </cols>
  <sheetData>
    <row r="2" ht="21.75" customHeight="1">
      <c r="B2" s="26" t="s">
        <v>124</v>
      </c>
      <c r="C2" s="27"/>
      <c r="D2" s="27"/>
      <c r="E2" s="27"/>
      <c r="F2" s="27"/>
      <c r="G2" s="27"/>
      <c r="H2" s="27"/>
      <c r="I2" s="27"/>
      <c r="K2" s="299" t="s">
        <v>125</v>
      </c>
      <c r="L2" s="29"/>
    </row>
    <row r="3" ht="15.0" customHeight="1">
      <c r="K3" s="31" t="s">
        <v>126</v>
      </c>
      <c r="L3" s="32">
        <f>COUNT(B12:D98)</f>
        <v>20</v>
      </c>
    </row>
    <row r="4">
      <c r="B4" s="33" t="s">
        <v>127</v>
      </c>
      <c r="C4" s="34" t="s">
        <v>128</v>
      </c>
      <c r="E4" s="34"/>
      <c r="K4" s="31" t="s">
        <v>129</v>
      </c>
      <c r="L4" s="32">
        <f>COUNTIF(F12:F98,"X")</f>
        <v>20</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00" t="s">
        <v>1185</v>
      </c>
      <c r="C10" s="301"/>
      <c r="D10" s="301"/>
      <c r="E10" s="302"/>
      <c r="F10" s="44" t="s">
        <v>127</v>
      </c>
      <c r="G10" s="45" t="s">
        <v>130</v>
      </c>
      <c r="H10" s="45" t="s">
        <v>132</v>
      </c>
      <c r="I10" s="46"/>
      <c r="J10" s="67"/>
    </row>
    <row r="11" ht="11.25" customHeight="1">
      <c r="C11" s="303"/>
      <c r="D11" s="304"/>
    </row>
    <row r="12" ht="39.0" customHeight="1">
      <c r="B12" s="314">
        <v>1.0</v>
      </c>
      <c r="C12" s="315" t="s">
        <v>1186</v>
      </c>
      <c r="D12" s="316"/>
      <c r="E12" s="54"/>
      <c r="F12" s="152" t="s">
        <v>169</v>
      </c>
      <c r="G12" s="151"/>
      <c r="H12" s="151"/>
      <c r="I12" s="153"/>
    </row>
    <row r="13" ht="37.5" customHeight="1">
      <c r="B13" s="305">
        <v>2.0</v>
      </c>
      <c r="C13" s="308" t="s">
        <v>1187</v>
      </c>
      <c r="D13" s="309"/>
      <c r="E13" s="54"/>
      <c r="F13" s="152" t="s">
        <v>169</v>
      </c>
      <c r="G13" s="151"/>
      <c r="H13" s="151"/>
      <c r="I13" s="153"/>
    </row>
    <row r="14" ht="35.25" customHeight="1">
      <c r="B14" s="305">
        <v>3.0</v>
      </c>
      <c r="C14" s="306" t="s">
        <v>1188</v>
      </c>
      <c r="D14" s="307"/>
      <c r="E14" s="54"/>
      <c r="F14" s="152" t="s">
        <v>169</v>
      </c>
      <c r="G14" s="151"/>
      <c r="H14" s="151"/>
      <c r="I14" s="153"/>
    </row>
    <row r="15" ht="37.5" customHeight="1">
      <c r="B15" s="305">
        <v>4.0</v>
      </c>
      <c r="C15" s="308" t="s">
        <v>1189</v>
      </c>
      <c r="D15" s="309"/>
      <c r="E15" s="54"/>
      <c r="F15" s="152" t="s">
        <v>169</v>
      </c>
      <c r="G15" s="151"/>
      <c r="H15" s="151"/>
      <c r="I15" s="153"/>
    </row>
    <row r="16" ht="35.25" customHeight="1">
      <c r="B16" s="310">
        <v>5.0</v>
      </c>
      <c r="C16" s="311" t="s">
        <v>1190</v>
      </c>
      <c r="D16" s="309"/>
      <c r="E16" s="54"/>
      <c r="F16" s="152" t="s">
        <v>169</v>
      </c>
      <c r="G16" s="151"/>
      <c r="H16" s="151"/>
      <c r="I16" s="153"/>
    </row>
    <row r="17" ht="33.0" customHeight="1">
      <c r="B17" s="312">
        <v>6.0</v>
      </c>
      <c r="C17" s="308" t="s">
        <v>1191</v>
      </c>
      <c r="D17" s="309"/>
      <c r="F17" s="152" t="s">
        <v>169</v>
      </c>
      <c r="G17" s="151"/>
      <c r="H17" s="151"/>
      <c r="I17" s="153"/>
    </row>
    <row r="18" ht="41.25" customHeight="1">
      <c r="B18" s="305">
        <v>7.0</v>
      </c>
      <c r="C18" s="308" t="s">
        <v>1192</v>
      </c>
      <c r="D18" s="309"/>
      <c r="F18" s="152" t="s">
        <v>169</v>
      </c>
      <c r="G18" s="151"/>
      <c r="H18" s="151"/>
      <c r="I18" s="153"/>
    </row>
    <row r="19" ht="38.25" customHeight="1">
      <c r="B19" s="305">
        <v>8.0</v>
      </c>
      <c r="C19" s="308" t="s">
        <v>1193</v>
      </c>
      <c r="D19" s="309"/>
      <c r="F19" s="152" t="s">
        <v>169</v>
      </c>
      <c r="G19" s="151"/>
      <c r="H19" s="151"/>
      <c r="I19" s="153"/>
    </row>
    <row r="20" ht="39.0" customHeight="1">
      <c r="B20" s="305">
        <v>9.0</v>
      </c>
      <c r="C20" s="306" t="s">
        <v>1194</v>
      </c>
      <c r="D20" s="307"/>
      <c r="F20" s="152" t="s">
        <v>169</v>
      </c>
      <c r="G20" s="160"/>
      <c r="H20" s="160"/>
      <c r="I20" s="161"/>
    </row>
    <row r="21" ht="36.75" customHeight="1">
      <c r="B21" s="305">
        <v>10.0</v>
      </c>
      <c r="C21" s="317" t="s">
        <v>1195</v>
      </c>
      <c r="D21" s="318"/>
      <c r="F21" s="152" t="s">
        <v>169</v>
      </c>
      <c r="G21" s="151"/>
      <c r="H21" s="151"/>
      <c r="I21" s="153"/>
    </row>
    <row r="22" ht="33.75" customHeight="1">
      <c r="B22" s="305">
        <v>11.0</v>
      </c>
      <c r="C22" s="319" t="s">
        <v>1196</v>
      </c>
      <c r="D22" s="307"/>
      <c r="F22" s="152" t="s">
        <v>169</v>
      </c>
      <c r="G22" s="151"/>
      <c r="H22" s="151"/>
      <c r="I22" s="153"/>
    </row>
    <row r="23" ht="36.0" customHeight="1">
      <c r="B23" s="305">
        <v>12.0</v>
      </c>
      <c r="C23" s="306" t="s">
        <v>1197</v>
      </c>
      <c r="D23" s="307"/>
      <c r="F23" s="152" t="s">
        <v>169</v>
      </c>
      <c r="G23" s="151"/>
      <c r="H23" s="151"/>
      <c r="I23" s="153"/>
    </row>
    <row r="24" ht="36.75" customHeight="1">
      <c r="B24" s="305">
        <v>13.0</v>
      </c>
      <c r="C24" s="306" t="s">
        <v>1198</v>
      </c>
      <c r="D24" s="307"/>
      <c r="F24" s="152" t="s">
        <v>169</v>
      </c>
      <c r="G24" s="160"/>
      <c r="H24" s="160"/>
      <c r="I24" s="161"/>
    </row>
    <row r="25" ht="34.5" customHeight="1">
      <c r="B25" s="305">
        <v>14.0</v>
      </c>
      <c r="C25" s="306" t="s">
        <v>1199</v>
      </c>
      <c r="D25" s="307"/>
      <c r="F25" s="152" t="s">
        <v>169</v>
      </c>
      <c r="G25" s="31"/>
      <c r="H25" s="31"/>
      <c r="I25" s="31"/>
    </row>
    <row r="26" ht="33.75" customHeight="1">
      <c r="B26" s="305">
        <v>15.0</v>
      </c>
      <c r="C26" s="306" t="s">
        <v>1200</v>
      </c>
      <c r="D26" s="307"/>
      <c r="F26" s="152" t="s">
        <v>169</v>
      </c>
      <c r="G26" s="31"/>
      <c r="H26" s="31"/>
      <c r="I26" s="31"/>
    </row>
    <row r="27" ht="42.0" customHeight="1">
      <c r="B27" s="305">
        <v>16.0</v>
      </c>
      <c r="C27" s="306" t="s">
        <v>1201</v>
      </c>
      <c r="D27" s="307"/>
      <c r="F27" s="152" t="s">
        <v>169</v>
      </c>
      <c r="G27" s="31"/>
      <c r="H27" s="31"/>
      <c r="I27" s="31"/>
    </row>
    <row r="28" ht="37.5" customHeight="1">
      <c r="B28" s="305">
        <v>17.0</v>
      </c>
      <c r="C28" s="306" t="s">
        <v>1202</v>
      </c>
      <c r="D28" s="307"/>
      <c r="F28" s="152" t="s">
        <v>169</v>
      </c>
      <c r="G28" s="31"/>
      <c r="H28" s="31"/>
      <c r="I28" s="31"/>
    </row>
    <row r="29" ht="36.75" customHeight="1">
      <c r="B29" s="305">
        <v>18.0</v>
      </c>
      <c r="C29" s="306" t="s">
        <v>1203</v>
      </c>
      <c r="D29" s="307"/>
      <c r="F29" s="152" t="s">
        <v>169</v>
      </c>
      <c r="G29" s="31"/>
      <c r="H29" s="31"/>
      <c r="I29" s="31"/>
    </row>
    <row r="30" ht="37.5" customHeight="1">
      <c r="B30" s="305">
        <v>19.0</v>
      </c>
      <c r="C30" s="306" t="s">
        <v>1204</v>
      </c>
      <c r="D30" s="307"/>
      <c r="F30" s="152" t="s">
        <v>169</v>
      </c>
      <c r="G30" s="31"/>
      <c r="H30" s="31"/>
      <c r="I30" s="31"/>
    </row>
    <row r="31" ht="45.75" customHeight="1">
      <c r="B31" s="305">
        <v>20.0</v>
      </c>
      <c r="C31" s="306" t="s">
        <v>1205</v>
      </c>
      <c r="D31" s="307"/>
      <c r="F31" s="152" t="s">
        <v>169</v>
      </c>
      <c r="G31" s="31"/>
      <c r="H31" s="31"/>
      <c r="I31" s="31"/>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16:D16"/>
    <mergeCell ref="C17:D17"/>
    <mergeCell ref="C18:D18"/>
    <mergeCell ref="C19:D19"/>
    <mergeCell ref="C20:D20"/>
    <mergeCell ref="C21:D21"/>
    <mergeCell ref="C22:D22"/>
    <mergeCell ref="C30:D30"/>
    <mergeCell ref="C31:D31"/>
    <mergeCell ref="C23:D23"/>
    <mergeCell ref="C24:D24"/>
    <mergeCell ref="C25:D25"/>
    <mergeCell ref="C26:D26"/>
    <mergeCell ref="C27:D27"/>
    <mergeCell ref="C28:D28"/>
    <mergeCell ref="C29:D29"/>
  </mergeCells>
  <printOptions/>
  <pageMargins bottom="0.75" footer="0.0" header="0.0" left="0.7" right="0.7" top="0.75"/>
  <pageSetup orientation="landscape"/>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26" width="11.43"/>
  </cols>
  <sheetData>
    <row r="2" ht="21.75" customHeight="1">
      <c r="B2" s="26" t="s">
        <v>124</v>
      </c>
      <c r="C2" s="27"/>
      <c r="D2" s="27"/>
      <c r="E2" s="27"/>
      <c r="F2" s="27"/>
      <c r="G2" s="27"/>
      <c r="H2" s="27"/>
      <c r="I2" s="27"/>
      <c r="K2" s="320" t="s">
        <v>125</v>
      </c>
      <c r="L2" s="301"/>
    </row>
    <row r="3" ht="15.0" customHeight="1">
      <c r="K3" s="31" t="s">
        <v>126</v>
      </c>
      <c r="L3" s="32">
        <f>COUNT(B12:D97)</f>
        <v>14</v>
      </c>
    </row>
    <row r="4">
      <c r="B4" s="33" t="s">
        <v>127</v>
      </c>
      <c r="C4" s="34" t="s">
        <v>128</v>
      </c>
      <c r="E4" s="34"/>
      <c r="K4" s="31" t="s">
        <v>129</v>
      </c>
      <c r="L4" s="32">
        <f>COUNTIF(F12:F97,"X")</f>
        <v>14</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20" t="s">
        <v>1206</v>
      </c>
      <c r="C10" s="301"/>
      <c r="D10" s="301"/>
      <c r="E10" s="302"/>
      <c r="F10" s="44" t="s">
        <v>127</v>
      </c>
      <c r="G10" s="45" t="s">
        <v>130</v>
      </c>
      <c r="H10" s="45" t="s">
        <v>132</v>
      </c>
      <c r="I10" s="46"/>
      <c r="J10" s="67"/>
    </row>
    <row r="11" ht="11.25" customHeight="1">
      <c r="C11" s="303"/>
      <c r="D11" s="304"/>
    </row>
    <row r="12">
      <c r="B12" s="321">
        <v>1.0</v>
      </c>
      <c r="C12" s="315" t="s">
        <v>1207</v>
      </c>
      <c r="D12" s="316"/>
      <c r="E12" s="54"/>
      <c r="F12" s="152" t="s">
        <v>169</v>
      </c>
      <c r="G12" s="151"/>
      <c r="H12" s="151"/>
      <c r="I12" s="153"/>
    </row>
    <row r="13" ht="36.0" customHeight="1">
      <c r="B13" s="322">
        <v>2.0</v>
      </c>
      <c r="C13" s="308" t="s">
        <v>1208</v>
      </c>
      <c r="D13" s="309"/>
      <c r="E13" s="54"/>
      <c r="F13" s="152" t="s">
        <v>169</v>
      </c>
      <c r="G13" s="151"/>
      <c r="H13" s="151"/>
      <c r="I13" s="153"/>
    </row>
    <row r="14" ht="33.0" customHeight="1">
      <c r="B14" s="322">
        <v>3.0</v>
      </c>
      <c r="C14" s="308" t="s">
        <v>1209</v>
      </c>
      <c r="D14" s="309"/>
      <c r="E14" s="54"/>
      <c r="F14" s="152" t="s">
        <v>169</v>
      </c>
      <c r="G14" s="151"/>
      <c r="H14" s="151"/>
      <c r="I14" s="153"/>
    </row>
    <row r="15" ht="37.5" customHeight="1">
      <c r="B15" s="322">
        <v>4.0</v>
      </c>
      <c r="C15" s="308" t="s">
        <v>1210</v>
      </c>
      <c r="D15" s="309"/>
      <c r="E15" s="54"/>
      <c r="F15" s="152" t="s">
        <v>169</v>
      </c>
      <c r="G15" s="151"/>
      <c r="H15" s="151"/>
      <c r="I15" s="153"/>
    </row>
    <row r="16" ht="36.75" customHeight="1">
      <c r="B16" s="323">
        <v>5.0</v>
      </c>
      <c r="C16" s="311" t="s">
        <v>1211</v>
      </c>
      <c r="D16" s="309"/>
      <c r="E16" s="54"/>
      <c r="F16" s="152" t="s">
        <v>169</v>
      </c>
      <c r="G16" s="151"/>
      <c r="H16" s="151"/>
      <c r="I16" s="153"/>
    </row>
    <row r="17">
      <c r="B17" s="324">
        <v>7.0</v>
      </c>
      <c r="C17" s="308" t="s">
        <v>1212</v>
      </c>
      <c r="D17" s="309"/>
      <c r="F17" s="152" t="s">
        <v>169</v>
      </c>
      <c r="G17" s="151"/>
      <c r="H17" s="151"/>
      <c r="I17" s="161"/>
    </row>
    <row r="18">
      <c r="B18" s="322">
        <v>8.0</v>
      </c>
      <c r="C18" s="308" t="s">
        <v>1213</v>
      </c>
      <c r="D18" s="309"/>
      <c r="F18" s="152" t="s">
        <v>169</v>
      </c>
      <c r="G18" s="160"/>
      <c r="H18" s="325"/>
      <c r="I18" s="326"/>
    </row>
    <row r="19">
      <c r="B19" s="322">
        <v>9.0</v>
      </c>
      <c r="C19" s="306" t="s">
        <v>1214</v>
      </c>
      <c r="D19" s="307"/>
      <c r="F19" s="152" t="s">
        <v>169</v>
      </c>
      <c r="G19" s="31"/>
      <c r="H19" s="327"/>
      <c r="I19" s="327"/>
    </row>
    <row r="20" ht="36.0" customHeight="1">
      <c r="B20" s="322">
        <v>10.0</v>
      </c>
      <c r="C20" s="306" t="s">
        <v>1215</v>
      </c>
      <c r="D20" s="307"/>
      <c r="F20" s="152" t="s">
        <v>169</v>
      </c>
      <c r="G20" s="31"/>
      <c r="H20" s="327"/>
      <c r="I20" s="327"/>
    </row>
    <row r="21" ht="41.25" customHeight="1">
      <c r="B21" s="322">
        <v>11.0</v>
      </c>
      <c r="C21" s="306" t="s">
        <v>1216</v>
      </c>
      <c r="D21" s="307"/>
      <c r="F21" s="152" t="s">
        <v>169</v>
      </c>
      <c r="G21" s="31"/>
      <c r="H21" s="327"/>
      <c r="I21" s="327"/>
    </row>
    <row r="22" ht="15.75" customHeight="1">
      <c r="B22" s="322">
        <v>12.0</v>
      </c>
      <c r="C22" s="306" t="s">
        <v>1217</v>
      </c>
      <c r="D22" s="307"/>
      <c r="F22" s="152" t="s">
        <v>169</v>
      </c>
      <c r="G22" s="31"/>
      <c r="H22" s="327"/>
      <c r="I22" s="327"/>
    </row>
    <row r="23" ht="41.25" customHeight="1">
      <c r="B23" s="322">
        <v>13.0</v>
      </c>
      <c r="C23" s="328" t="s">
        <v>1218</v>
      </c>
      <c r="D23" s="307"/>
      <c r="F23" s="152" t="s">
        <v>169</v>
      </c>
      <c r="G23" s="31"/>
      <c r="H23" s="327"/>
      <c r="I23" s="327"/>
    </row>
    <row r="24" ht="34.5" customHeight="1">
      <c r="B24" s="322">
        <v>15.0</v>
      </c>
      <c r="C24" s="306" t="s">
        <v>1219</v>
      </c>
      <c r="D24" s="307"/>
      <c r="F24" s="152" t="s">
        <v>169</v>
      </c>
      <c r="G24" s="31"/>
      <c r="H24" s="327"/>
      <c r="I24" s="327"/>
    </row>
    <row r="25" ht="37.5" customHeight="1">
      <c r="B25" s="322">
        <v>16.0</v>
      </c>
      <c r="C25" s="306" t="s">
        <v>1220</v>
      </c>
      <c r="D25" s="307"/>
      <c r="F25" s="152" t="s">
        <v>169</v>
      </c>
      <c r="G25" s="31"/>
      <c r="H25" s="327"/>
      <c r="I25" s="327"/>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4">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23:D23"/>
    <mergeCell ref="C24:D24"/>
    <mergeCell ref="C25:D25"/>
    <mergeCell ref="C16:D16"/>
    <mergeCell ref="C17:D17"/>
    <mergeCell ref="C18:D18"/>
    <mergeCell ref="C19:D19"/>
    <mergeCell ref="C20:D20"/>
    <mergeCell ref="C21:D21"/>
    <mergeCell ref="C22:D22"/>
  </mergeCells>
  <printOptions/>
  <pageMargins bottom="0.75" footer="0.0" header="0.0" left="0.7" right="0.7" top="0.75"/>
  <pageSetup orientation="landscape"/>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11.43"/>
    <col customWidth="1" min="11" max="11" width="14.57"/>
    <col customWidth="1" min="12" max="26" width="11.43"/>
  </cols>
  <sheetData>
    <row r="2" ht="21.75" customHeight="1">
      <c r="B2" s="26" t="s">
        <v>124</v>
      </c>
      <c r="C2" s="27"/>
      <c r="D2" s="27"/>
      <c r="E2" s="27"/>
      <c r="F2" s="27"/>
      <c r="G2" s="27"/>
      <c r="H2" s="27"/>
      <c r="I2" s="27"/>
      <c r="K2" s="329" t="s">
        <v>125</v>
      </c>
      <c r="L2" s="29"/>
    </row>
    <row r="3" ht="15.0" customHeight="1">
      <c r="K3" s="31" t="s">
        <v>126</v>
      </c>
      <c r="L3" s="32">
        <f>COUNT(B12:D97)</f>
        <v>16</v>
      </c>
    </row>
    <row r="4">
      <c r="B4" s="33" t="s">
        <v>127</v>
      </c>
      <c r="C4" s="34" t="s">
        <v>128</v>
      </c>
      <c r="E4" s="34"/>
      <c r="K4" s="31" t="s">
        <v>129</v>
      </c>
      <c r="L4" s="32">
        <f>COUNTIF(F12:F97,"X")</f>
        <v>16</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20" t="s">
        <v>1221</v>
      </c>
      <c r="C10" s="301"/>
      <c r="D10" s="301"/>
      <c r="E10" s="302"/>
      <c r="F10" s="44" t="s">
        <v>127</v>
      </c>
      <c r="G10" s="45" t="s">
        <v>130</v>
      </c>
      <c r="H10" s="45" t="s">
        <v>132</v>
      </c>
      <c r="I10" s="46"/>
      <c r="J10" s="67"/>
    </row>
    <row r="11" ht="11.25" customHeight="1">
      <c r="C11" s="303"/>
      <c r="D11" s="304"/>
    </row>
    <row r="12">
      <c r="B12" s="321">
        <v>1.0</v>
      </c>
      <c r="C12" s="315" t="s">
        <v>1222</v>
      </c>
      <c r="D12" s="316"/>
      <c r="E12" s="54"/>
      <c r="F12" s="152" t="s">
        <v>169</v>
      </c>
      <c r="G12" s="151"/>
      <c r="H12" s="151"/>
      <c r="I12" s="153"/>
    </row>
    <row r="13" ht="36.75" customHeight="1">
      <c r="B13" s="322">
        <v>2.0</v>
      </c>
      <c r="C13" s="308" t="s">
        <v>1223</v>
      </c>
      <c r="D13" s="309"/>
      <c r="E13" s="54"/>
      <c r="F13" s="152" t="s">
        <v>169</v>
      </c>
      <c r="G13" s="151"/>
      <c r="H13" s="151"/>
      <c r="I13" s="153"/>
    </row>
    <row r="14" ht="39.75" customHeight="1">
      <c r="B14" s="321">
        <v>3.0</v>
      </c>
      <c r="C14" s="315" t="s">
        <v>1224</v>
      </c>
      <c r="D14" s="316"/>
      <c r="E14" s="54"/>
      <c r="F14" s="152" t="s">
        <v>169</v>
      </c>
      <c r="G14" s="151"/>
      <c r="H14" s="151"/>
      <c r="I14" s="153"/>
    </row>
    <row r="15" ht="39.0" customHeight="1">
      <c r="B15" s="321">
        <v>4.0</v>
      </c>
      <c r="C15" s="315" t="s">
        <v>1225</v>
      </c>
      <c r="D15" s="316"/>
      <c r="E15" s="54"/>
      <c r="F15" s="152" t="s">
        <v>169</v>
      </c>
      <c r="G15" s="151"/>
      <c r="H15" s="151"/>
      <c r="I15" s="153"/>
    </row>
    <row r="16">
      <c r="B16" s="321">
        <v>5.0</v>
      </c>
      <c r="C16" s="315" t="s">
        <v>1226</v>
      </c>
      <c r="D16" s="316"/>
      <c r="E16" s="54"/>
      <c r="F16" s="152" t="s">
        <v>169</v>
      </c>
      <c r="G16" s="151"/>
      <c r="H16" s="151"/>
      <c r="I16" s="153"/>
    </row>
    <row r="17" ht="37.5" customHeight="1">
      <c r="B17" s="321">
        <v>6.0</v>
      </c>
      <c r="C17" s="315" t="s">
        <v>1227</v>
      </c>
      <c r="D17" s="316"/>
      <c r="E17" s="54"/>
      <c r="F17" s="152" t="s">
        <v>169</v>
      </c>
      <c r="G17" s="151"/>
      <c r="H17" s="151"/>
      <c r="I17" s="153"/>
    </row>
    <row r="18" ht="36.0" customHeight="1">
      <c r="B18" s="321">
        <v>7.0</v>
      </c>
      <c r="C18" s="315" t="s">
        <v>1228</v>
      </c>
      <c r="D18" s="316"/>
      <c r="E18" s="54"/>
      <c r="F18" s="152" t="s">
        <v>169</v>
      </c>
      <c r="G18" s="151"/>
      <c r="H18" s="151"/>
      <c r="I18" s="153"/>
    </row>
    <row r="19" ht="36.0" customHeight="1">
      <c r="B19" s="321">
        <v>8.0</v>
      </c>
      <c r="C19" s="315" t="s">
        <v>1229</v>
      </c>
      <c r="D19" s="316"/>
      <c r="E19" s="54"/>
      <c r="F19" s="152" t="s">
        <v>169</v>
      </c>
      <c r="G19" s="151"/>
      <c r="H19" s="151"/>
      <c r="I19" s="153"/>
    </row>
    <row r="20" ht="33.0" customHeight="1">
      <c r="B20" s="321">
        <v>9.0</v>
      </c>
      <c r="C20" s="315" t="s">
        <v>1230</v>
      </c>
      <c r="D20" s="316"/>
      <c r="E20" s="54"/>
      <c r="F20" s="152" t="s">
        <v>169</v>
      </c>
      <c r="G20" s="151"/>
      <c r="H20" s="151"/>
      <c r="I20" s="153"/>
    </row>
    <row r="21" ht="33.75" customHeight="1">
      <c r="B21" s="321">
        <v>10.0</v>
      </c>
      <c r="C21" s="315" t="s">
        <v>1231</v>
      </c>
      <c r="D21" s="316"/>
      <c r="E21" s="54"/>
      <c r="F21" s="152" t="s">
        <v>169</v>
      </c>
      <c r="G21" s="151"/>
      <c r="H21" s="151"/>
      <c r="I21" s="153"/>
    </row>
    <row r="22" ht="15.75" customHeight="1">
      <c r="B22" s="321">
        <v>11.0</v>
      </c>
      <c r="C22" s="315" t="s">
        <v>1232</v>
      </c>
      <c r="D22" s="316"/>
      <c r="E22" s="54"/>
      <c r="F22" s="152" t="s">
        <v>169</v>
      </c>
      <c r="G22" s="151"/>
      <c r="H22" s="151"/>
      <c r="I22" s="153"/>
    </row>
    <row r="23" ht="33.75" customHeight="1">
      <c r="B23" s="321">
        <v>12.0</v>
      </c>
      <c r="C23" s="315" t="s">
        <v>1233</v>
      </c>
      <c r="D23" s="316"/>
      <c r="E23" s="54"/>
      <c r="F23" s="152" t="s">
        <v>169</v>
      </c>
      <c r="G23" s="151"/>
      <c r="H23" s="151"/>
      <c r="I23" s="153"/>
    </row>
    <row r="24" ht="36.0" customHeight="1">
      <c r="B24" s="321">
        <v>13.0</v>
      </c>
      <c r="C24" s="315" t="s">
        <v>1234</v>
      </c>
      <c r="D24" s="316"/>
      <c r="E24" s="54"/>
      <c r="F24" s="152" t="s">
        <v>169</v>
      </c>
      <c r="G24" s="151"/>
      <c r="H24" s="151"/>
      <c r="I24" s="153"/>
    </row>
    <row r="25" ht="32.25" customHeight="1">
      <c r="B25" s="321">
        <v>14.0</v>
      </c>
      <c r="C25" s="315" t="s">
        <v>1235</v>
      </c>
      <c r="D25" s="316"/>
      <c r="E25" s="54"/>
      <c r="F25" s="152" t="s">
        <v>169</v>
      </c>
      <c r="G25" s="151"/>
      <c r="H25" s="151"/>
      <c r="I25" s="153"/>
    </row>
    <row r="26" ht="32.25" customHeight="1">
      <c r="B26" s="321">
        <v>15.0</v>
      </c>
      <c r="C26" s="315" t="s">
        <v>1236</v>
      </c>
      <c r="D26" s="316"/>
      <c r="E26" s="54"/>
      <c r="F26" s="152" t="s">
        <v>169</v>
      </c>
      <c r="G26" s="151"/>
      <c r="H26" s="151"/>
      <c r="I26" s="153"/>
    </row>
    <row r="27" ht="36.0" customHeight="1">
      <c r="B27" s="321">
        <v>16.0</v>
      </c>
      <c r="C27" s="315" t="s">
        <v>1237</v>
      </c>
      <c r="D27" s="316"/>
      <c r="E27" s="54"/>
      <c r="F27" s="152" t="s">
        <v>169</v>
      </c>
      <c r="G27" s="151"/>
      <c r="H27" s="151"/>
      <c r="I27" s="153"/>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23:D23"/>
    <mergeCell ref="C24:D24"/>
    <mergeCell ref="C25:D25"/>
    <mergeCell ref="C26:D26"/>
    <mergeCell ref="C27:D27"/>
    <mergeCell ref="C16:D16"/>
    <mergeCell ref="C17:D17"/>
    <mergeCell ref="C18:D18"/>
    <mergeCell ref="C19:D19"/>
    <mergeCell ref="C20:D20"/>
    <mergeCell ref="C21:D21"/>
    <mergeCell ref="C22:D22"/>
  </mergeCells>
  <printOptions/>
  <pageMargins bottom="0.75" footer="0.0" header="0.0" left="0.7" right="0.7" top="0.75"/>
  <pageSetup orientation="landscape"/>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3366"/>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26" width="11.43"/>
  </cols>
  <sheetData>
    <row r="2" ht="21.75" customHeight="1">
      <c r="B2" s="26" t="s">
        <v>124</v>
      </c>
      <c r="C2" s="27"/>
      <c r="D2" s="27"/>
      <c r="E2" s="27"/>
      <c r="F2" s="27"/>
      <c r="G2" s="27"/>
      <c r="H2" s="27"/>
      <c r="I2" s="27"/>
      <c r="K2" s="330" t="s">
        <v>125</v>
      </c>
      <c r="L2" s="29"/>
    </row>
    <row r="3" ht="15.0" customHeight="1">
      <c r="K3" s="31" t="s">
        <v>126</v>
      </c>
      <c r="L3" s="32">
        <f>COUNT(B12:D98)</f>
        <v>13</v>
      </c>
    </row>
    <row r="4">
      <c r="B4" s="33" t="s">
        <v>127</v>
      </c>
      <c r="C4" s="34" t="s">
        <v>128</v>
      </c>
      <c r="E4" s="34"/>
      <c r="K4" s="31" t="s">
        <v>129</v>
      </c>
      <c r="L4" s="32">
        <f>COUNTIF(F12:F98,"X")</f>
        <v>13</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31" t="s">
        <v>1238</v>
      </c>
      <c r="C10" s="301"/>
      <c r="D10" s="301"/>
      <c r="E10" s="302"/>
      <c r="F10" s="44" t="s">
        <v>127</v>
      </c>
      <c r="G10" s="45" t="s">
        <v>130</v>
      </c>
      <c r="H10" s="45" t="s">
        <v>132</v>
      </c>
      <c r="I10" s="46"/>
      <c r="J10" s="67"/>
    </row>
    <row r="11" ht="11.25" customHeight="1">
      <c r="C11" s="303"/>
      <c r="D11" s="304"/>
    </row>
    <row r="12">
      <c r="B12" s="332">
        <v>1.0</v>
      </c>
      <c r="C12" s="308" t="s">
        <v>1239</v>
      </c>
      <c r="D12" s="309"/>
      <c r="E12" s="54"/>
      <c r="F12" s="152" t="s">
        <v>169</v>
      </c>
      <c r="G12" s="151"/>
      <c r="H12" s="151"/>
      <c r="I12" s="153"/>
    </row>
    <row r="13">
      <c r="B13" s="333">
        <v>1.0</v>
      </c>
      <c r="C13" s="315" t="s">
        <v>1240</v>
      </c>
      <c r="D13" s="316"/>
      <c r="E13" s="54"/>
      <c r="F13" s="152" t="s">
        <v>169</v>
      </c>
      <c r="G13" s="151"/>
      <c r="H13" s="151"/>
      <c r="I13" s="153"/>
    </row>
    <row r="14" ht="37.5" customHeight="1">
      <c r="B14" s="332">
        <v>2.0</v>
      </c>
      <c r="C14" s="308" t="s">
        <v>1241</v>
      </c>
      <c r="D14" s="309"/>
      <c r="E14" s="54"/>
      <c r="F14" s="152" t="s">
        <v>169</v>
      </c>
      <c r="G14" s="151"/>
      <c r="H14" s="151"/>
      <c r="I14" s="153"/>
    </row>
    <row r="15" ht="39.0" customHeight="1">
      <c r="B15" s="332">
        <v>3.0</v>
      </c>
      <c r="C15" s="306" t="s">
        <v>1242</v>
      </c>
      <c r="D15" s="307"/>
      <c r="E15" s="54"/>
      <c r="F15" s="152" t="s">
        <v>169</v>
      </c>
      <c r="G15" s="151"/>
      <c r="H15" s="151"/>
      <c r="I15" s="153"/>
    </row>
    <row r="16">
      <c r="B16" s="332">
        <v>4.0</v>
      </c>
      <c r="C16" s="308" t="s">
        <v>1243</v>
      </c>
      <c r="D16" s="309"/>
      <c r="E16" s="54"/>
      <c r="F16" s="152" t="s">
        <v>169</v>
      </c>
      <c r="G16" s="151"/>
      <c r="H16" s="151"/>
      <c r="I16" s="153"/>
    </row>
    <row r="17" ht="34.5" customHeight="1">
      <c r="B17" s="334">
        <v>5.0</v>
      </c>
      <c r="C17" s="311" t="s">
        <v>1244</v>
      </c>
      <c r="D17" s="309"/>
      <c r="E17" s="54"/>
      <c r="F17" s="152" t="s">
        <v>169</v>
      </c>
      <c r="G17" s="151"/>
      <c r="H17" s="151"/>
      <c r="I17" s="153"/>
    </row>
    <row r="18" ht="37.5" customHeight="1">
      <c r="B18" s="335">
        <v>6.0</v>
      </c>
      <c r="C18" s="308" t="s">
        <v>1245</v>
      </c>
      <c r="D18" s="309"/>
      <c r="F18" s="152" t="s">
        <v>169</v>
      </c>
      <c r="G18" s="151"/>
      <c r="H18" s="151"/>
      <c r="I18" s="153"/>
    </row>
    <row r="19" ht="36.75" customHeight="1">
      <c r="B19" s="332">
        <v>7.0</v>
      </c>
      <c r="C19" s="308" t="s">
        <v>1246</v>
      </c>
      <c r="D19" s="309"/>
      <c r="F19" s="152" t="s">
        <v>169</v>
      </c>
      <c r="G19" s="151"/>
      <c r="H19" s="151"/>
      <c r="I19" s="153"/>
    </row>
    <row r="20" ht="33.75" customHeight="1">
      <c r="B20" s="332">
        <v>8.0</v>
      </c>
      <c r="C20" s="308" t="s">
        <v>1247</v>
      </c>
      <c r="D20" s="309"/>
      <c r="F20" s="336" t="s">
        <v>169</v>
      </c>
      <c r="G20" s="160"/>
      <c r="H20" s="160"/>
      <c r="I20" s="161"/>
    </row>
    <row r="21" ht="15.75" customHeight="1">
      <c r="B21" s="332">
        <v>10.0</v>
      </c>
      <c r="C21" s="306" t="s">
        <v>1248</v>
      </c>
      <c r="D21" s="307"/>
      <c r="F21" s="55" t="s">
        <v>169</v>
      </c>
      <c r="G21" s="31"/>
      <c r="H21" s="31"/>
      <c r="I21" s="327"/>
    </row>
    <row r="22" ht="15.75" customHeight="1">
      <c r="B22" s="332">
        <v>11.0</v>
      </c>
      <c r="C22" s="306" t="s">
        <v>1249</v>
      </c>
      <c r="D22" s="307"/>
      <c r="F22" s="55" t="s">
        <v>169</v>
      </c>
      <c r="G22" s="31"/>
      <c r="H22" s="31"/>
      <c r="I22" s="327"/>
    </row>
    <row r="23" ht="15.75" customHeight="1">
      <c r="B23" s="332">
        <v>12.0</v>
      </c>
      <c r="C23" s="306" t="s">
        <v>1250</v>
      </c>
      <c r="D23" s="307"/>
      <c r="F23" s="55" t="s">
        <v>169</v>
      </c>
      <c r="G23" s="31"/>
      <c r="H23" s="31"/>
      <c r="I23" s="327"/>
    </row>
    <row r="24" ht="15.75" customHeight="1">
      <c r="B24" s="332">
        <v>13.0</v>
      </c>
      <c r="C24" s="306" t="s">
        <v>1251</v>
      </c>
      <c r="D24" s="307"/>
      <c r="F24" s="55" t="s">
        <v>169</v>
      </c>
      <c r="G24" s="31"/>
      <c r="H24" s="31"/>
      <c r="I24" s="327"/>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3">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23:D23"/>
    <mergeCell ref="C24:D24"/>
    <mergeCell ref="C16:D16"/>
    <mergeCell ref="C17:D17"/>
    <mergeCell ref="C18:D18"/>
    <mergeCell ref="C19:D19"/>
    <mergeCell ref="C20:D20"/>
    <mergeCell ref="C21:D21"/>
    <mergeCell ref="C22:D22"/>
  </mergeCells>
  <printOptions/>
  <pageMargins bottom="0.75" footer="0.0" header="0.0" left="0.7" right="0.7" top="0.75"/>
  <pageSetup orientation="landscape"/>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3366"/>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26" width="11.43"/>
  </cols>
  <sheetData>
    <row r="2" ht="21.75" customHeight="1">
      <c r="B2" s="26" t="s">
        <v>124</v>
      </c>
      <c r="C2" s="27"/>
      <c r="D2" s="27"/>
      <c r="E2" s="27"/>
      <c r="F2" s="27"/>
      <c r="G2" s="27"/>
      <c r="H2" s="27"/>
      <c r="I2" s="27"/>
      <c r="K2" s="330" t="s">
        <v>125</v>
      </c>
      <c r="L2" s="29"/>
    </row>
    <row r="3" ht="15.0" customHeight="1">
      <c r="K3" s="31" t="s">
        <v>126</v>
      </c>
      <c r="L3" s="32">
        <f>COUNT(B12:D85)</f>
        <v>13</v>
      </c>
    </row>
    <row r="4">
      <c r="B4" s="33" t="s">
        <v>127</v>
      </c>
      <c r="C4" s="34" t="s">
        <v>128</v>
      </c>
      <c r="E4" s="34"/>
      <c r="K4" s="31" t="s">
        <v>129</v>
      </c>
      <c r="L4" s="32">
        <f>COUNTIF(F12:F85,"X")</f>
        <v>13</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31" t="s">
        <v>1252</v>
      </c>
      <c r="C10" s="301"/>
      <c r="D10" s="301"/>
      <c r="E10" s="302"/>
      <c r="F10" s="44" t="s">
        <v>127</v>
      </c>
      <c r="G10" s="45" t="s">
        <v>130</v>
      </c>
      <c r="H10" s="45" t="s">
        <v>132</v>
      </c>
      <c r="I10" s="46"/>
      <c r="J10" s="67"/>
    </row>
    <row r="11" ht="11.25" customHeight="1">
      <c r="C11" s="303"/>
      <c r="D11" s="304"/>
    </row>
    <row r="12" ht="42.75" customHeight="1">
      <c r="B12" s="332">
        <v>1.0</v>
      </c>
      <c r="C12" s="308" t="s">
        <v>1253</v>
      </c>
      <c r="D12" s="309"/>
      <c r="E12" s="54"/>
      <c r="F12" s="152" t="s">
        <v>169</v>
      </c>
      <c r="G12" s="151"/>
      <c r="H12" s="151"/>
      <c r="I12" s="153"/>
    </row>
    <row r="13" ht="39.0" customHeight="1">
      <c r="B13" s="333">
        <v>2.0</v>
      </c>
      <c r="C13" s="315" t="s">
        <v>1254</v>
      </c>
      <c r="D13" s="316"/>
      <c r="E13" s="54"/>
      <c r="F13" s="152" t="s">
        <v>169</v>
      </c>
      <c r="G13" s="151"/>
      <c r="H13" s="151"/>
      <c r="I13" s="153"/>
    </row>
    <row r="14" ht="37.5" customHeight="1">
      <c r="B14" s="332">
        <v>3.0</v>
      </c>
      <c r="C14" s="308" t="s">
        <v>1255</v>
      </c>
      <c r="D14" s="309"/>
      <c r="E14" s="54"/>
      <c r="F14" s="152" t="s">
        <v>169</v>
      </c>
      <c r="G14" s="151"/>
      <c r="H14" s="151"/>
      <c r="I14" s="153"/>
    </row>
    <row r="15" ht="45.75" customHeight="1">
      <c r="B15" s="333">
        <v>4.0</v>
      </c>
      <c r="C15" s="308" t="s">
        <v>1256</v>
      </c>
      <c r="D15" s="309"/>
      <c r="E15" s="54"/>
      <c r="F15" s="152" t="s">
        <v>169</v>
      </c>
      <c r="G15" s="151"/>
      <c r="H15" s="151"/>
      <c r="I15" s="153"/>
    </row>
    <row r="16" ht="37.5" customHeight="1">
      <c r="B16" s="337">
        <v>5.0</v>
      </c>
      <c r="C16" s="338" t="s">
        <v>1257</v>
      </c>
      <c r="D16" s="339"/>
      <c r="E16" s="54"/>
      <c r="F16" s="152" t="s">
        <v>169</v>
      </c>
      <c r="G16" s="151"/>
      <c r="H16" s="151"/>
      <c r="I16" s="153"/>
    </row>
    <row r="17">
      <c r="B17" s="337">
        <v>6.0</v>
      </c>
      <c r="C17" s="338" t="s">
        <v>1258</v>
      </c>
      <c r="D17" s="339"/>
      <c r="E17" s="54"/>
      <c r="F17" s="152" t="s">
        <v>169</v>
      </c>
      <c r="G17" s="151"/>
      <c r="H17" s="151"/>
      <c r="I17" s="153"/>
    </row>
    <row r="18">
      <c r="B18" s="337">
        <v>7.0</v>
      </c>
      <c r="C18" s="338" t="s">
        <v>1259</v>
      </c>
      <c r="D18" s="339"/>
      <c r="E18" s="54"/>
      <c r="F18" s="152" t="s">
        <v>169</v>
      </c>
      <c r="G18" s="151"/>
      <c r="H18" s="151"/>
      <c r="I18" s="153"/>
    </row>
    <row r="19">
      <c r="B19" s="337">
        <v>8.0</v>
      </c>
      <c r="C19" s="338" t="s">
        <v>1260</v>
      </c>
      <c r="D19" s="339"/>
      <c r="E19" s="54"/>
      <c r="F19" s="152" t="s">
        <v>169</v>
      </c>
      <c r="G19" s="151"/>
      <c r="H19" s="151"/>
      <c r="I19" s="153"/>
    </row>
    <row r="20">
      <c r="B20" s="337">
        <v>9.0</v>
      </c>
      <c r="C20" s="338" t="s">
        <v>1261</v>
      </c>
      <c r="D20" s="339"/>
      <c r="E20" s="54"/>
      <c r="F20" s="152" t="s">
        <v>169</v>
      </c>
      <c r="G20" s="151"/>
      <c r="H20" s="151"/>
      <c r="I20" s="153"/>
    </row>
    <row r="21" ht="15.75" customHeight="1">
      <c r="B21" s="337">
        <v>10.0</v>
      </c>
      <c r="C21" s="338" t="s">
        <v>1262</v>
      </c>
      <c r="D21" s="339"/>
      <c r="E21" s="54"/>
      <c r="F21" s="152" t="s">
        <v>169</v>
      </c>
      <c r="G21" s="151"/>
      <c r="H21" s="151"/>
      <c r="I21" s="153"/>
    </row>
    <row r="22" ht="15.75" customHeight="1">
      <c r="B22" s="337">
        <v>11.0</v>
      </c>
      <c r="C22" s="338" t="s">
        <v>1263</v>
      </c>
      <c r="D22" s="339"/>
      <c r="E22" s="54"/>
      <c r="F22" s="152" t="s">
        <v>169</v>
      </c>
      <c r="G22" s="151"/>
      <c r="H22" s="151"/>
      <c r="I22" s="153"/>
    </row>
    <row r="23" ht="15.75" customHeight="1">
      <c r="B23" s="337">
        <v>12.0</v>
      </c>
      <c r="C23" s="338" t="s">
        <v>1264</v>
      </c>
      <c r="D23" s="339"/>
      <c r="E23" s="54"/>
      <c r="F23" s="152" t="s">
        <v>169</v>
      </c>
      <c r="G23" s="151"/>
      <c r="H23" s="151"/>
      <c r="I23" s="153"/>
    </row>
    <row r="24" ht="15.75" customHeight="1">
      <c r="B24" s="337">
        <v>13.0</v>
      </c>
      <c r="C24" s="338" t="s">
        <v>1265</v>
      </c>
      <c r="D24" s="339"/>
      <c r="E24" s="54"/>
      <c r="F24" s="152" t="s">
        <v>169</v>
      </c>
      <c r="G24" s="151"/>
      <c r="H24" s="151"/>
      <c r="I24" s="153"/>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23:D23"/>
    <mergeCell ref="C24:D24"/>
    <mergeCell ref="C16:D16"/>
    <mergeCell ref="C17:D17"/>
    <mergeCell ref="C18:D18"/>
    <mergeCell ref="C19:D19"/>
    <mergeCell ref="C20:D20"/>
    <mergeCell ref="C21:D21"/>
    <mergeCell ref="C22:D22"/>
  </mergeCells>
  <printOptions/>
  <pageMargins bottom="0.75" footer="0.0" header="0.0" left="0.7" right="0.7" top="0.75"/>
  <pageSetup orientation="landscape"/>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26" width="11.43"/>
  </cols>
  <sheetData>
    <row r="2" ht="21.75" customHeight="1">
      <c r="B2" s="26" t="s">
        <v>124</v>
      </c>
      <c r="C2" s="27"/>
      <c r="D2" s="27"/>
      <c r="E2" s="27"/>
      <c r="F2" s="27"/>
      <c r="G2" s="27"/>
      <c r="H2" s="27"/>
      <c r="I2" s="27"/>
      <c r="K2" s="340" t="s">
        <v>125</v>
      </c>
      <c r="L2" s="29"/>
    </row>
    <row r="3" ht="15.0" customHeight="1">
      <c r="K3" s="31" t="s">
        <v>126</v>
      </c>
      <c r="L3" s="32">
        <f>COUNT(B12:D95)</f>
        <v>10</v>
      </c>
    </row>
    <row r="4">
      <c r="B4" s="33" t="s">
        <v>127</v>
      </c>
      <c r="C4" s="34" t="s">
        <v>128</v>
      </c>
      <c r="E4" s="34"/>
      <c r="K4" s="31" t="s">
        <v>129</v>
      </c>
      <c r="L4" s="32">
        <f>COUNTIF(F12:F95,"X")</f>
        <v>10</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41" t="s">
        <v>1266</v>
      </c>
      <c r="C10" s="301"/>
      <c r="D10" s="301"/>
      <c r="E10" s="302"/>
      <c r="F10" s="44" t="s">
        <v>127</v>
      </c>
      <c r="G10" s="45" t="s">
        <v>130</v>
      </c>
      <c r="H10" s="45" t="s">
        <v>132</v>
      </c>
      <c r="I10" s="46"/>
      <c r="J10" s="67"/>
    </row>
    <row r="11" ht="11.25" customHeight="1">
      <c r="C11" s="303"/>
      <c r="D11" s="304"/>
    </row>
    <row r="12">
      <c r="B12" s="342">
        <v>1.0</v>
      </c>
      <c r="C12" s="343" t="s">
        <v>1267</v>
      </c>
      <c r="D12" s="344"/>
      <c r="E12" s="54"/>
      <c r="F12" s="152" t="s">
        <v>169</v>
      </c>
      <c r="G12" s="151"/>
      <c r="H12" s="151"/>
      <c r="I12" s="153"/>
    </row>
    <row r="13" ht="36.0" customHeight="1">
      <c r="B13" s="345">
        <v>2.0</v>
      </c>
      <c r="C13" s="56" t="s">
        <v>1268</v>
      </c>
      <c r="D13" s="346"/>
      <c r="E13" s="54"/>
      <c r="F13" s="152" t="s">
        <v>169</v>
      </c>
      <c r="G13" s="151"/>
      <c r="H13" s="151"/>
      <c r="I13" s="153"/>
    </row>
    <row r="14" ht="38.25" customHeight="1">
      <c r="B14" s="345">
        <v>3.0</v>
      </c>
      <c r="C14" s="343" t="s">
        <v>1269</v>
      </c>
      <c r="D14" s="344"/>
      <c r="E14" s="54"/>
      <c r="F14" s="152" t="s">
        <v>169</v>
      </c>
      <c r="G14" s="151"/>
      <c r="H14" s="151"/>
      <c r="I14" s="153"/>
    </row>
    <row r="15" ht="34.5" customHeight="1">
      <c r="B15" s="345">
        <v>4.0</v>
      </c>
      <c r="C15" s="56" t="s">
        <v>1270</v>
      </c>
      <c r="D15" s="346"/>
      <c r="E15" s="54"/>
      <c r="F15" s="152" t="s">
        <v>169</v>
      </c>
      <c r="G15" s="151"/>
      <c r="H15" s="151"/>
      <c r="I15" s="153"/>
    </row>
    <row r="16" ht="33.75" customHeight="1">
      <c r="B16" s="347">
        <v>5.0</v>
      </c>
      <c r="C16" s="348" t="s">
        <v>1271</v>
      </c>
      <c r="D16" s="346"/>
      <c r="E16" s="54"/>
      <c r="F16" s="152" t="s">
        <v>169</v>
      </c>
      <c r="G16" s="151"/>
      <c r="H16" s="151"/>
      <c r="I16" s="153"/>
    </row>
    <row r="17" ht="20.25" customHeight="1">
      <c r="B17" s="349">
        <v>6.0</v>
      </c>
      <c r="C17" s="56" t="s">
        <v>1272</v>
      </c>
      <c r="D17" s="346"/>
      <c r="F17" s="152" t="s">
        <v>169</v>
      </c>
      <c r="G17" s="151"/>
      <c r="H17" s="151"/>
      <c r="I17" s="153"/>
    </row>
    <row r="18" ht="36.0" customHeight="1">
      <c r="B18" s="345">
        <v>7.0</v>
      </c>
      <c r="C18" s="56" t="s">
        <v>1273</v>
      </c>
      <c r="D18" s="346"/>
      <c r="F18" s="152" t="s">
        <v>169</v>
      </c>
      <c r="G18" s="151"/>
      <c r="H18" s="151"/>
      <c r="I18" s="153"/>
    </row>
    <row r="19" ht="34.5" customHeight="1">
      <c r="B19" s="342">
        <v>8.0</v>
      </c>
      <c r="C19" s="350" t="s">
        <v>1274</v>
      </c>
      <c r="D19" s="351"/>
      <c r="F19" s="152" t="s">
        <v>169</v>
      </c>
      <c r="G19" s="160"/>
      <c r="H19" s="160"/>
      <c r="I19" s="161"/>
    </row>
    <row r="20" ht="37.5" customHeight="1">
      <c r="B20" s="352">
        <v>9.0</v>
      </c>
      <c r="C20" s="348" t="s">
        <v>1275</v>
      </c>
      <c r="D20" s="11"/>
      <c r="F20" s="152" t="s">
        <v>169</v>
      </c>
      <c r="G20" s="31"/>
      <c r="H20" s="31"/>
      <c r="I20" s="31"/>
    </row>
    <row r="21" ht="15.75" customHeight="1">
      <c r="B21" s="352">
        <v>10.0</v>
      </c>
      <c r="C21" s="348" t="s">
        <v>1276</v>
      </c>
      <c r="D21" s="11"/>
      <c r="F21" s="152" t="s">
        <v>169</v>
      </c>
      <c r="G21" s="31"/>
      <c r="H21" s="31"/>
      <c r="I21" s="31"/>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2:I2"/>
    <mergeCell ref="K2:L2"/>
    <mergeCell ref="C4:D4"/>
    <mergeCell ref="C5:D5"/>
    <mergeCell ref="C6:D6"/>
    <mergeCell ref="F9:H9"/>
    <mergeCell ref="I9:I10"/>
    <mergeCell ref="C16:D16"/>
    <mergeCell ref="C17:D17"/>
    <mergeCell ref="C18:D18"/>
    <mergeCell ref="C19:D19"/>
    <mergeCell ref="C20:D20"/>
    <mergeCell ref="C21:D21"/>
    <mergeCell ref="B7:C7"/>
    <mergeCell ref="B10:D10"/>
    <mergeCell ref="C11:D11"/>
    <mergeCell ref="C12:D12"/>
    <mergeCell ref="C13:D13"/>
    <mergeCell ref="C14:D14"/>
    <mergeCell ref="C15:D15"/>
  </mergeCells>
  <printOptions/>
  <pageMargins bottom="0.75" footer="0.0" header="0.0" left="0.7" right="0.7" top="0.75"/>
  <pageSetup orientation="landscape"/>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26" width="11.43"/>
  </cols>
  <sheetData>
    <row r="2" ht="21.75" customHeight="1">
      <c r="B2" s="26" t="s">
        <v>124</v>
      </c>
      <c r="C2" s="27"/>
      <c r="D2" s="27"/>
      <c r="E2" s="27"/>
      <c r="F2" s="27"/>
      <c r="G2" s="27"/>
      <c r="H2" s="27"/>
      <c r="I2" s="27"/>
      <c r="K2" s="340" t="s">
        <v>125</v>
      </c>
      <c r="L2" s="29"/>
    </row>
    <row r="3" ht="15.0" customHeight="1">
      <c r="K3" s="31" t="s">
        <v>126</v>
      </c>
      <c r="L3" s="32">
        <f>COUNT(B12:D99)</f>
        <v>16</v>
      </c>
    </row>
    <row r="4">
      <c r="B4" s="33" t="s">
        <v>127</v>
      </c>
      <c r="C4" s="34" t="s">
        <v>128</v>
      </c>
      <c r="E4" s="34"/>
      <c r="K4" s="31" t="s">
        <v>129</v>
      </c>
      <c r="L4" s="32">
        <f>COUNTIF(F12:F99,"X")</f>
        <v>16</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41" t="s">
        <v>1266</v>
      </c>
      <c r="C10" s="301"/>
      <c r="D10" s="301"/>
      <c r="E10" s="302"/>
      <c r="F10" s="44" t="s">
        <v>127</v>
      </c>
      <c r="G10" s="45" t="s">
        <v>130</v>
      </c>
      <c r="H10" s="45" t="s">
        <v>132</v>
      </c>
      <c r="I10" s="46"/>
      <c r="J10" s="67"/>
    </row>
    <row r="11" ht="11.25" customHeight="1">
      <c r="C11" s="303"/>
      <c r="D11" s="304"/>
    </row>
    <row r="12" ht="32.25" customHeight="1">
      <c r="B12" s="342">
        <v>1.0</v>
      </c>
      <c r="C12" s="343" t="s">
        <v>1277</v>
      </c>
      <c r="D12" s="344"/>
      <c r="E12" s="54"/>
      <c r="F12" s="152" t="s">
        <v>169</v>
      </c>
      <c r="G12" s="151"/>
      <c r="H12" s="151"/>
      <c r="I12" s="153"/>
    </row>
    <row r="13">
      <c r="B13" s="345">
        <v>2.0</v>
      </c>
      <c r="C13" s="56" t="s">
        <v>1278</v>
      </c>
      <c r="D13" s="346"/>
      <c r="E13" s="54"/>
      <c r="F13" s="152" t="s">
        <v>169</v>
      </c>
      <c r="G13" s="151"/>
      <c r="H13" s="151"/>
      <c r="I13" s="153"/>
    </row>
    <row r="14">
      <c r="B14" s="345">
        <v>3.0</v>
      </c>
      <c r="C14" s="343" t="s">
        <v>1279</v>
      </c>
      <c r="D14" s="344"/>
      <c r="E14" s="54"/>
      <c r="F14" s="152" t="s">
        <v>169</v>
      </c>
      <c r="G14" s="151"/>
      <c r="H14" s="151"/>
      <c r="I14" s="153"/>
    </row>
    <row r="15" ht="36.0" customHeight="1">
      <c r="B15" s="345">
        <v>4.0</v>
      </c>
      <c r="C15" s="56" t="s">
        <v>1280</v>
      </c>
      <c r="D15" s="346"/>
      <c r="E15" s="54"/>
      <c r="F15" s="152" t="s">
        <v>169</v>
      </c>
      <c r="G15" s="151"/>
      <c r="H15" s="151"/>
      <c r="I15" s="153"/>
    </row>
    <row r="16">
      <c r="B16" s="347">
        <v>5.0</v>
      </c>
      <c r="C16" s="348" t="s">
        <v>1281</v>
      </c>
      <c r="D16" s="346"/>
      <c r="E16" s="54"/>
      <c r="F16" s="152" t="s">
        <v>169</v>
      </c>
      <c r="G16" s="151"/>
      <c r="H16" s="151"/>
      <c r="I16" s="153"/>
    </row>
    <row r="17" ht="33.75" customHeight="1">
      <c r="B17" s="349">
        <v>6.0</v>
      </c>
      <c r="C17" s="56" t="s">
        <v>1282</v>
      </c>
      <c r="D17" s="346"/>
      <c r="F17" s="152" t="s">
        <v>169</v>
      </c>
      <c r="G17" s="151"/>
      <c r="H17" s="151"/>
      <c r="I17" s="153"/>
    </row>
    <row r="18" ht="34.5" customHeight="1">
      <c r="B18" s="345">
        <v>7.0</v>
      </c>
      <c r="C18" s="56" t="s">
        <v>1283</v>
      </c>
      <c r="D18" s="346"/>
      <c r="F18" s="152" t="s">
        <v>169</v>
      </c>
      <c r="G18" s="151"/>
      <c r="H18" s="151"/>
      <c r="I18" s="153"/>
    </row>
    <row r="19" ht="35.25" customHeight="1">
      <c r="B19" s="342">
        <v>8.0</v>
      </c>
      <c r="C19" s="353" t="s">
        <v>1284</v>
      </c>
      <c r="D19" s="351"/>
      <c r="F19" s="152" t="s">
        <v>169</v>
      </c>
      <c r="G19" s="160"/>
      <c r="H19" s="160"/>
      <c r="I19" s="161"/>
    </row>
    <row r="20">
      <c r="B20" s="352">
        <v>9.0</v>
      </c>
      <c r="C20" s="348" t="s">
        <v>1285</v>
      </c>
      <c r="D20" s="11"/>
      <c r="F20" s="152" t="s">
        <v>169</v>
      </c>
      <c r="G20" s="31"/>
      <c r="H20" s="31"/>
      <c r="I20" s="31"/>
    </row>
    <row r="21" ht="33.75" customHeight="1">
      <c r="B21" s="352">
        <v>10.0</v>
      </c>
      <c r="C21" s="348" t="s">
        <v>1286</v>
      </c>
      <c r="D21" s="11"/>
      <c r="F21" s="152" t="s">
        <v>169</v>
      </c>
      <c r="G21" s="31"/>
      <c r="H21" s="31"/>
      <c r="I21" s="31"/>
    </row>
    <row r="22" ht="33.75" customHeight="1">
      <c r="B22" s="352">
        <v>11.0</v>
      </c>
      <c r="C22" s="348" t="s">
        <v>1287</v>
      </c>
      <c r="D22" s="11"/>
      <c r="F22" s="152" t="s">
        <v>169</v>
      </c>
      <c r="G22" s="31"/>
      <c r="H22" s="31"/>
      <c r="I22" s="31"/>
    </row>
    <row r="23" ht="35.25" customHeight="1">
      <c r="B23" s="354">
        <v>12.0</v>
      </c>
      <c r="C23" s="355" t="s">
        <v>1234</v>
      </c>
      <c r="D23" s="61"/>
      <c r="F23" s="152" t="s">
        <v>169</v>
      </c>
      <c r="G23" s="31"/>
      <c r="H23" s="31"/>
      <c r="I23" s="31"/>
    </row>
    <row r="24" ht="33.0" customHeight="1">
      <c r="B24" s="352">
        <v>13.0</v>
      </c>
      <c r="C24" s="56" t="s">
        <v>1288</v>
      </c>
      <c r="D24" s="11"/>
      <c r="F24" s="152" t="s">
        <v>169</v>
      </c>
      <c r="G24" s="297"/>
      <c r="H24" s="297"/>
      <c r="I24" s="297"/>
    </row>
    <row r="25" ht="33.75" customHeight="1">
      <c r="B25" s="352">
        <v>14.0</v>
      </c>
      <c r="C25" s="56" t="s">
        <v>1289</v>
      </c>
      <c r="D25" s="11"/>
      <c r="F25" s="152" t="s">
        <v>169</v>
      </c>
      <c r="G25" s="297"/>
      <c r="H25" s="297"/>
      <c r="I25" s="297"/>
    </row>
    <row r="26" ht="37.5" customHeight="1">
      <c r="B26" s="352">
        <v>15.0</v>
      </c>
      <c r="C26" s="56" t="s">
        <v>1290</v>
      </c>
      <c r="D26" s="11"/>
      <c r="F26" s="152" t="s">
        <v>169</v>
      </c>
      <c r="G26" s="297"/>
      <c r="H26" s="297"/>
      <c r="I26" s="297"/>
    </row>
    <row r="27" ht="33.75" customHeight="1">
      <c r="B27" s="352">
        <v>16.0</v>
      </c>
      <c r="C27" s="56" t="s">
        <v>1291</v>
      </c>
      <c r="D27" s="11"/>
      <c r="F27" s="152" t="s">
        <v>169</v>
      </c>
      <c r="G27" s="297"/>
      <c r="H27" s="297"/>
      <c r="I27" s="297"/>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23:D23"/>
    <mergeCell ref="C24:D24"/>
    <mergeCell ref="C25:D25"/>
    <mergeCell ref="C26:D26"/>
    <mergeCell ref="C27:D27"/>
    <mergeCell ref="C16:D16"/>
    <mergeCell ref="C17:D17"/>
    <mergeCell ref="C18:D18"/>
    <mergeCell ref="C19:D19"/>
    <mergeCell ref="C20:D20"/>
    <mergeCell ref="C21:D21"/>
    <mergeCell ref="C22:D22"/>
  </mergeCells>
  <printOptions/>
  <pageMargins bottom="0.75" footer="0.0" header="0.0" left="0.7" right="0.7" top="0.75"/>
  <pageSetup orientation="landscape"/>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60606"/>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26" width="11.43"/>
  </cols>
  <sheetData>
    <row r="2" ht="21.75" customHeight="1">
      <c r="B2" s="26" t="s">
        <v>124</v>
      </c>
      <c r="C2" s="27"/>
      <c r="D2" s="27"/>
      <c r="E2" s="27"/>
      <c r="F2" s="27"/>
      <c r="G2" s="27"/>
      <c r="H2" s="27"/>
      <c r="I2" s="27"/>
      <c r="K2" s="265" t="s">
        <v>125</v>
      </c>
      <c r="L2" s="29"/>
    </row>
    <row r="3" ht="15.0" customHeight="1">
      <c r="K3" s="31" t="s">
        <v>126</v>
      </c>
      <c r="L3" s="32">
        <f>COUNT(B12:D99)</f>
        <v>10</v>
      </c>
    </row>
    <row r="4">
      <c r="B4" s="33" t="s">
        <v>127</v>
      </c>
      <c r="C4" s="34" t="s">
        <v>128</v>
      </c>
      <c r="E4" s="34"/>
      <c r="K4" s="31" t="s">
        <v>129</v>
      </c>
      <c r="L4" s="32">
        <f>COUNTIF(F12:F99,"X")</f>
        <v>9</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56" t="s">
        <v>1292</v>
      </c>
      <c r="C10" s="301"/>
      <c r="D10" s="301"/>
      <c r="E10" s="302"/>
      <c r="F10" s="44" t="s">
        <v>127</v>
      </c>
      <c r="G10" s="45" t="s">
        <v>130</v>
      </c>
      <c r="H10" s="45" t="s">
        <v>132</v>
      </c>
      <c r="I10" s="46"/>
      <c r="J10" s="67"/>
    </row>
    <row r="11" ht="11.25" customHeight="1">
      <c r="C11" s="303"/>
      <c r="D11" s="304"/>
    </row>
    <row r="12" ht="35.25" customHeight="1">
      <c r="B12" s="357">
        <v>1.0</v>
      </c>
      <c r="C12" s="315" t="s">
        <v>1293</v>
      </c>
      <c r="D12" s="316"/>
      <c r="E12" s="54"/>
      <c r="F12" s="152" t="s">
        <v>169</v>
      </c>
      <c r="G12" s="151"/>
      <c r="H12" s="151"/>
      <c r="I12" s="153"/>
    </row>
    <row r="13">
      <c r="B13" s="358">
        <v>2.0</v>
      </c>
      <c r="C13" s="308" t="s">
        <v>1294</v>
      </c>
      <c r="D13" s="309"/>
      <c r="E13" s="54"/>
      <c r="F13" s="152" t="s">
        <v>169</v>
      </c>
      <c r="G13" s="151"/>
      <c r="H13" s="151"/>
      <c r="I13" s="153"/>
    </row>
    <row r="14" ht="34.5" customHeight="1">
      <c r="B14" s="358">
        <v>3.0</v>
      </c>
      <c r="C14" s="306" t="s">
        <v>1295</v>
      </c>
      <c r="D14" s="307"/>
      <c r="E14" s="54"/>
      <c r="F14" s="152" t="s">
        <v>169</v>
      </c>
      <c r="G14" s="151"/>
      <c r="H14" s="151"/>
      <c r="I14" s="153"/>
    </row>
    <row r="15">
      <c r="B15" s="358">
        <v>4.0</v>
      </c>
      <c r="C15" s="308" t="s">
        <v>1296</v>
      </c>
      <c r="D15" s="309"/>
      <c r="E15" s="54"/>
      <c r="F15" s="152" t="s">
        <v>169</v>
      </c>
      <c r="G15" s="151"/>
      <c r="H15" s="151"/>
      <c r="I15" s="153"/>
    </row>
    <row r="16">
      <c r="B16" s="359">
        <v>5.0</v>
      </c>
      <c r="C16" s="311" t="s">
        <v>1297</v>
      </c>
      <c r="D16" s="309"/>
      <c r="E16" s="54"/>
      <c r="F16" s="152"/>
      <c r="G16" s="151"/>
      <c r="H16" s="151"/>
      <c r="I16" s="153"/>
    </row>
    <row r="17" ht="36.75" customHeight="1">
      <c r="B17" s="360">
        <v>6.0</v>
      </c>
      <c r="C17" s="308" t="s">
        <v>1298</v>
      </c>
      <c r="D17" s="309"/>
      <c r="F17" s="152" t="s">
        <v>169</v>
      </c>
      <c r="G17" s="151"/>
      <c r="H17" s="151"/>
      <c r="I17" s="153"/>
    </row>
    <row r="18" ht="36.75" customHeight="1">
      <c r="B18" s="358">
        <v>7.0</v>
      </c>
      <c r="C18" s="308" t="s">
        <v>1299</v>
      </c>
      <c r="D18" s="309"/>
      <c r="F18" s="152" t="s">
        <v>169</v>
      </c>
      <c r="G18" s="151"/>
      <c r="H18" s="151"/>
      <c r="I18" s="153"/>
    </row>
    <row r="19" ht="36.0" customHeight="1">
      <c r="B19" s="358">
        <v>8.0</v>
      </c>
      <c r="C19" s="308" t="s">
        <v>1300</v>
      </c>
      <c r="D19" s="309"/>
      <c r="F19" s="336" t="s">
        <v>169</v>
      </c>
      <c r="G19" s="160"/>
      <c r="H19" s="160"/>
      <c r="I19" s="161"/>
    </row>
    <row r="20" ht="39.0" customHeight="1">
      <c r="B20" s="358">
        <v>9.0</v>
      </c>
      <c r="C20" s="306" t="s">
        <v>1301</v>
      </c>
      <c r="D20" s="307"/>
      <c r="F20" s="55" t="s">
        <v>169</v>
      </c>
      <c r="G20" s="31"/>
      <c r="H20" s="31"/>
      <c r="I20" s="31"/>
    </row>
    <row r="21" ht="35.25" customHeight="1">
      <c r="B21" s="358">
        <v>10.0</v>
      </c>
      <c r="C21" s="306" t="s">
        <v>1302</v>
      </c>
      <c r="D21" s="307"/>
      <c r="F21" s="55" t="s">
        <v>169</v>
      </c>
      <c r="G21" s="31"/>
      <c r="H21" s="31"/>
      <c r="I21" s="31"/>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2:I2"/>
    <mergeCell ref="K2:L2"/>
    <mergeCell ref="C4:D4"/>
    <mergeCell ref="C5:D5"/>
    <mergeCell ref="C6:D6"/>
    <mergeCell ref="F9:H9"/>
    <mergeCell ref="I9:I10"/>
    <mergeCell ref="C16:D16"/>
    <mergeCell ref="C17:D17"/>
    <mergeCell ref="C18:D18"/>
    <mergeCell ref="C19:D19"/>
    <mergeCell ref="C20:D20"/>
    <mergeCell ref="C21:D21"/>
    <mergeCell ref="B7:C7"/>
    <mergeCell ref="B10:D10"/>
    <mergeCell ref="C11:D11"/>
    <mergeCell ref="C12:D12"/>
    <mergeCell ref="C13:D13"/>
    <mergeCell ref="C14:D14"/>
    <mergeCell ref="C15:D15"/>
  </mergeCells>
  <printOptions/>
  <pageMargins bottom="0.75" footer="0.0" header="0.0" left="0.7" right="0.7" top="0.75"/>
  <pageSetup orientation="landscape"/>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60606"/>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26" width="11.43"/>
  </cols>
  <sheetData>
    <row r="2" ht="21.75" customHeight="1">
      <c r="B2" s="26" t="s">
        <v>124</v>
      </c>
      <c r="C2" s="27"/>
      <c r="D2" s="27"/>
      <c r="E2" s="27"/>
      <c r="F2" s="27"/>
      <c r="G2" s="27"/>
      <c r="H2" s="27"/>
      <c r="I2" s="27"/>
      <c r="K2" s="265" t="s">
        <v>125</v>
      </c>
      <c r="L2" s="29"/>
    </row>
    <row r="3" ht="15.0" customHeight="1">
      <c r="K3" s="31" t="s">
        <v>126</v>
      </c>
      <c r="L3" s="32">
        <f>COUNT(B12:D99)</f>
        <v>24</v>
      </c>
    </row>
    <row r="4">
      <c r="B4" s="33" t="s">
        <v>127</v>
      </c>
      <c r="C4" s="34" t="s">
        <v>128</v>
      </c>
      <c r="E4" s="34"/>
      <c r="K4" s="31" t="s">
        <v>129</v>
      </c>
      <c r="L4" s="32">
        <f>COUNTIF(F12:F99,"X")</f>
        <v>24</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56" t="s">
        <v>1303</v>
      </c>
      <c r="C10" s="301"/>
      <c r="D10" s="301"/>
      <c r="E10" s="302"/>
      <c r="F10" s="44" t="s">
        <v>127</v>
      </c>
      <c r="G10" s="45" t="s">
        <v>130</v>
      </c>
      <c r="H10" s="45" t="s">
        <v>132</v>
      </c>
      <c r="I10" s="46"/>
      <c r="J10" s="67"/>
    </row>
    <row r="11" ht="11.25" customHeight="1">
      <c r="C11" s="303"/>
      <c r="D11" s="304"/>
    </row>
    <row r="12" ht="36.0" customHeight="1">
      <c r="B12" s="357">
        <v>1.0</v>
      </c>
      <c r="C12" s="315" t="s">
        <v>1304</v>
      </c>
      <c r="D12" s="316"/>
      <c r="E12" s="54"/>
      <c r="F12" s="152" t="s">
        <v>169</v>
      </c>
      <c r="G12" s="151"/>
      <c r="H12" s="151"/>
      <c r="I12" s="153"/>
    </row>
    <row r="13" ht="42.0" customHeight="1">
      <c r="B13" s="358">
        <v>2.0</v>
      </c>
      <c r="C13" s="308" t="s">
        <v>1305</v>
      </c>
      <c r="D13" s="309"/>
      <c r="E13" s="54"/>
      <c r="F13" s="152" t="s">
        <v>169</v>
      </c>
      <c r="G13" s="151"/>
      <c r="H13" s="151"/>
      <c r="I13" s="153"/>
    </row>
    <row r="14" ht="33.75" customHeight="1">
      <c r="B14" s="357">
        <v>3.0</v>
      </c>
      <c r="C14" s="308" t="s">
        <v>1306</v>
      </c>
      <c r="D14" s="309"/>
      <c r="E14" s="54"/>
      <c r="F14" s="152" t="s">
        <v>169</v>
      </c>
      <c r="G14" s="151"/>
      <c r="H14" s="151"/>
      <c r="I14" s="153"/>
    </row>
    <row r="15" ht="40.5" customHeight="1">
      <c r="B15" s="361">
        <v>4.0</v>
      </c>
      <c r="C15" s="338" t="s">
        <v>1307</v>
      </c>
      <c r="D15" s="339"/>
      <c r="E15" s="54"/>
      <c r="F15" s="152" t="s">
        <v>169</v>
      </c>
      <c r="G15" s="151"/>
      <c r="H15" s="151"/>
      <c r="I15" s="153"/>
    </row>
    <row r="16" ht="39.75" customHeight="1">
      <c r="B16" s="361">
        <v>5.0</v>
      </c>
      <c r="C16" s="338" t="s">
        <v>1308</v>
      </c>
      <c r="D16" s="339"/>
      <c r="E16" s="54"/>
      <c r="F16" s="152" t="s">
        <v>169</v>
      </c>
      <c r="G16" s="151"/>
      <c r="H16" s="151"/>
      <c r="I16" s="153"/>
    </row>
    <row r="17" ht="37.5" customHeight="1">
      <c r="B17" s="361">
        <v>6.0</v>
      </c>
      <c r="C17" s="338" t="s">
        <v>1309</v>
      </c>
      <c r="D17" s="339"/>
      <c r="E17" s="54"/>
      <c r="F17" s="152" t="s">
        <v>169</v>
      </c>
      <c r="G17" s="151"/>
      <c r="H17" s="151"/>
      <c r="I17" s="153"/>
    </row>
    <row r="18" ht="36.0" customHeight="1">
      <c r="B18" s="361">
        <v>7.0</v>
      </c>
      <c r="C18" s="338" t="s">
        <v>1310</v>
      </c>
      <c r="D18" s="339"/>
      <c r="E18" s="54"/>
      <c r="F18" s="152" t="s">
        <v>169</v>
      </c>
      <c r="G18" s="151"/>
      <c r="H18" s="151"/>
      <c r="I18" s="153"/>
    </row>
    <row r="19" ht="40.5" customHeight="1">
      <c r="B19" s="361">
        <v>8.0</v>
      </c>
      <c r="C19" s="338" t="s">
        <v>1311</v>
      </c>
      <c r="D19" s="339"/>
      <c r="E19" s="54"/>
      <c r="F19" s="152" t="s">
        <v>169</v>
      </c>
      <c r="G19" s="151"/>
      <c r="H19" s="151"/>
      <c r="I19" s="153"/>
    </row>
    <row r="20" ht="39.75" customHeight="1">
      <c r="B20" s="361">
        <v>9.0</v>
      </c>
      <c r="C20" s="338" t="s">
        <v>1312</v>
      </c>
      <c r="D20" s="339"/>
      <c r="E20" s="54"/>
      <c r="F20" s="152" t="s">
        <v>169</v>
      </c>
      <c r="G20" s="151"/>
      <c r="H20" s="151"/>
      <c r="I20" s="153"/>
    </row>
    <row r="21" ht="37.5" customHeight="1">
      <c r="B21" s="361">
        <v>10.0</v>
      </c>
      <c r="C21" s="338" t="s">
        <v>1313</v>
      </c>
      <c r="D21" s="339"/>
      <c r="E21" s="54"/>
      <c r="F21" s="152" t="s">
        <v>169</v>
      </c>
      <c r="G21" s="151"/>
      <c r="H21" s="151"/>
      <c r="I21" s="153"/>
    </row>
    <row r="22" ht="34.5" customHeight="1">
      <c r="B22" s="361">
        <v>11.0</v>
      </c>
      <c r="C22" s="338" t="s">
        <v>1314</v>
      </c>
      <c r="D22" s="339"/>
      <c r="E22" s="54"/>
      <c r="F22" s="152" t="s">
        <v>169</v>
      </c>
      <c r="G22" s="151"/>
      <c r="H22" s="151"/>
      <c r="I22" s="153"/>
    </row>
    <row r="23" ht="36.75" customHeight="1">
      <c r="B23" s="361">
        <v>12.0</v>
      </c>
      <c r="C23" s="338" t="s">
        <v>1315</v>
      </c>
      <c r="D23" s="339"/>
      <c r="E23" s="54"/>
      <c r="F23" s="152" t="s">
        <v>169</v>
      </c>
      <c r="G23" s="151"/>
      <c r="H23" s="151"/>
      <c r="I23" s="153"/>
    </row>
    <row r="24" ht="34.5" customHeight="1">
      <c r="B24" s="361">
        <v>13.0</v>
      </c>
      <c r="C24" s="338" t="s">
        <v>1316</v>
      </c>
      <c r="D24" s="339"/>
      <c r="E24" s="54"/>
      <c r="F24" s="152" t="s">
        <v>169</v>
      </c>
      <c r="G24" s="151"/>
      <c r="H24" s="151"/>
      <c r="I24" s="153"/>
    </row>
    <row r="25" ht="35.25" customHeight="1">
      <c r="B25" s="361">
        <v>14.0</v>
      </c>
      <c r="C25" s="338" t="s">
        <v>1317</v>
      </c>
      <c r="D25" s="339"/>
      <c r="E25" s="54"/>
      <c r="F25" s="152" t="s">
        <v>169</v>
      </c>
      <c r="G25" s="151"/>
      <c r="H25" s="151"/>
      <c r="I25" s="153"/>
    </row>
    <row r="26" ht="42.75" customHeight="1">
      <c r="B26" s="361">
        <v>15.0</v>
      </c>
      <c r="C26" s="338" t="s">
        <v>1318</v>
      </c>
      <c r="D26" s="339"/>
      <c r="E26" s="54"/>
      <c r="F26" s="152" t="s">
        <v>169</v>
      </c>
      <c r="G26" s="151"/>
      <c r="H26" s="151"/>
      <c r="I26" s="153"/>
    </row>
    <row r="27" ht="42.0" customHeight="1">
      <c r="B27" s="361">
        <v>16.0</v>
      </c>
      <c r="C27" s="338" t="s">
        <v>1319</v>
      </c>
      <c r="D27" s="339"/>
      <c r="E27" s="54"/>
      <c r="F27" s="152" t="s">
        <v>169</v>
      </c>
      <c r="G27" s="151"/>
      <c r="H27" s="151"/>
      <c r="I27" s="153"/>
    </row>
    <row r="28" ht="40.5" customHeight="1">
      <c r="B28" s="361">
        <v>17.0</v>
      </c>
      <c r="C28" s="338" t="s">
        <v>1320</v>
      </c>
      <c r="D28" s="339"/>
      <c r="E28" s="54"/>
      <c r="F28" s="152" t="s">
        <v>169</v>
      </c>
      <c r="G28" s="151"/>
      <c r="H28" s="151"/>
      <c r="I28" s="153"/>
    </row>
    <row r="29" ht="44.25" customHeight="1">
      <c r="B29" s="361">
        <v>18.0</v>
      </c>
      <c r="C29" s="338" t="s">
        <v>1321</v>
      </c>
      <c r="D29" s="339"/>
      <c r="E29" s="54"/>
      <c r="F29" s="152" t="s">
        <v>169</v>
      </c>
      <c r="G29" s="151"/>
      <c r="H29" s="151"/>
      <c r="I29" s="153"/>
    </row>
    <row r="30" ht="39.0" customHeight="1">
      <c r="B30" s="361">
        <v>19.0</v>
      </c>
      <c r="C30" s="338" t="s">
        <v>1322</v>
      </c>
      <c r="D30" s="339"/>
      <c r="E30" s="54"/>
      <c r="F30" s="152" t="s">
        <v>169</v>
      </c>
      <c r="G30" s="151"/>
      <c r="H30" s="151"/>
      <c r="I30" s="153"/>
    </row>
    <row r="31" ht="41.25" customHeight="1">
      <c r="B31" s="361">
        <v>20.0</v>
      </c>
      <c r="C31" s="338" t="s">
        <v>1323</v>
      </c>
      <c r="D31" s="339"/>
      <c r="E31" s="54"/>
      <c r="F31" s="152" t="s">
        <v>169</v>
      </c>
      <c r="G31" s="151"/>
      <c r="H31" s="151"/>
      <c r="I31" s="153"/>
    </row>
    <row r="32" ht="41.25" customHeight="1">
      <c r="B32" s="361">
        <v>21.0</v>
      </c>
      <c r="C32" s="338" t="s">
        <v>1324</v>
      </c>
      <c r="D32" s="339"/>
      <c r="E32" s="54"/>
      <c r="F32" s="152" t="s">
        <v>169</v>
      </c>
      <c r="G32" s="151"/>
      <c r="H32" s="151"/>
      <c r="I32" s="153"/>
    </row>
    <row r="33" ht="42.0" customHeight="1">
      <c r="B33" s="361">
        <v>22.0</v>
      </c>
      <c r="C33" s="338" t="s">
        <v>1325</v>
      </c>
      <c r="D33" s="339"/>
      <c r="E33" s="54"/>
      <c r="F33" s="152" t="s">
        <v>169</v>
      </c>
      <c r="G33" s="151"/>
      <c r="H33" s="151"/>
      <c r="I33" s="153"/>
    </row>
    <row r="34" ht="46.5" customHeight="1">
      <c r="B34" s="361">
        <v>23.0</v>
      </c>
      <c r="C34" s="338" t="s">
        <v>1326</v>
      </c>
      <c r="D34" s="339"/>
      <c r="E34" s="54"/>
      <c r="F34" s="152" t="s">
        <v>169</v>
      </c>
      <c r="G34" s="151"/>
      <c r="H34" s="151"/>
      <c r="I34" s="153"/>
    </row>
    <row r="35" ht="40.5" customHeight="1">
      <c r="B35" s="361">
        <v>24.0</v>
      </c>
      <c r="C35" s="338" t="s">
        <v>1327</v>
      </c>
      <c r="D35" s="339"/>
      <c r="E35" s="54"/>
      <c r="F35" s="152" t="s">
        <v>169</v>
      </c>
      <c r="G35" s="151"/>
      <c r="H35" s="151"/>
      <c r="I35" s="153"/>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16:D16"/>
    <mergeCell ref="C17:D17"/>
    <mergeCell ref="C18:D18"/>
    <mergeCell ref="C19:D19"/>
    <mergeCell ref="C20:D20"/>
    <mergeCell ref="C21:D21"/>
    <mergeCell ref="C22:D22"/>
    <mergeCell ref="C30:D30"/>
    <mergeCell ref="C31:D31"/>
    <mergeCell ref="C32:D32"/>
    <mergeCell ref="C33:D33"/>
    <mergeCell ref="C34:D34"/>
    <mergeCell ref="C35:D35"/>
    <mergeCell ref="C23:D23"/>
    <mergeCell ref="C24:D24"/>
    <mergeCell ref="C25:D25"/>
    <mergeCell ref="C26:D26"/>
    <mergeCell ref="C27:D27"/>
    <mergeCell ref="C28:D28"/>
    <mergeCell ref="C29:D29"/>
  </mergeCells>
  <printOptions/>
  <pageMargins bottom="0.75" footer="0.0" header="0.0" left="0.7" right="0.7" top="0.75"/>
  <pageSetup orientation="landscape"/>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11.43"/>
    <col customWidth="1" min="11" max="11" width="14.57"/>
    <col customWidth="1" min="12" max="26" width="11.43"/>
  </cols>
  <sheetData>
    <row r="2" ht="21.75" customHeight="1">
      <c r="B2" s="26" t="s">
        <v>124</v>
      </c>
      <c r="C2" s="27"/>
      <c r="D2" s="27"/>
      <c r="E2" s="27"/>
      <c r="F2" s="27"/>
      <c r="G2" s="27"/>
      <c r="H2" s="27"/>
      <c r="I2" s="27"/>
      <c r="K2" s="299" t="s">
        <v>125</v>
      </c>
      <c r="L2" s="29"/>
    </row>
    <row r="3" ht="15.0" customHeight="1">
      <c r="K3" s="31" t="s">
        <v>126</v>
      </c>
      <c r="L3" s="32">
        <f>COUNT(B12:D85)</f>
        <v>12</v>
      </c>
    </row>
    <row r="4">
      <c r="B4" s="33" t="s">
        <v>127</v>
      </c>
      <c r="C4" s="34" t="s">
        <v>128</v>
      </c>
      <c r="E4" s="34"/>
      <c r="K4" s="31" t="s">
        <v>129</v>
      </c>
      <c r="L4" s="32">
        <f>COUNTIF(F12:F85,"X")</f>
        <v>12</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00" t="s">
        <v>1328</v>
      </c>
      <c r="C10" s="301"/>
      <c r="D10" s="301"/>
      <c r="E10" s="302"/>
      <c r="F10" s="44" t="s">
        <v>127</v>
      </c>
      <c r="G10" s="45" t="s">
        <v>130</v>
      </c>
      <c r="H10" s="45" t="s">
        <v>132</v>
      </c>
      <c r="I10" s="46"/>
      <c r="J10" s="67"/>
    </row>
    <row r="11" ht="11.25" customHeight="1">
      <c r="C11" s="303"/>
      <c r="D11" s="304"/>
    </row>
    <row r="12">
      <c r="B12" s="314">
        <v>1.0</v>
      </c>
      <c r="C12" s="315" t="s">
        <v>1329</v>
      </c>
      <c r="D12" s="316"/>
      <c r="E12" s="54"/>
      <c r="F12" s="152" t="s">
        <v>169</v>
      </c>
      <c r="G12" s="151"/>
      <c r="H12" s="151"/>
      <c r="I12" s="153"/>
    </row>
    <row r="13" ht="36.75" customHeight="1">
      <c r="B13" s="305">
        <v>2.0</v>
      </c>
      <c r="C13" s="308" t="s">
        <v>1330</v>
      </c>
      <c r="D13" s="309"/>
      <c r="E13" s="54"/>
      <c r="F13" s="152" t="s">
        <v>169</v>
      </c>
      <c r="G13" s="151"/>
      <c r="H13" s="151"/>
      <c r="I13" s="153"/>
    </row>
    <row r="14">
      <c r="B14" s="305">
        <v>3.0</v>
      </c>
      <c r="C14" s="306" t="s">
        <v>1331</v>
      </c>
      <c r="D14" s="307"/>
      <c r="E14" s="54"/>
      <c r="F14" s="152" t="s">
        <v>169</v>
      </c>
      <c r="G14" s="151"/>
      <c r="H14" s="151"/>
      <c r="I14" s="153"/>
    </row>
    <row r="15" ht="40.5" customHeight="1">
      <c r="B15" s="305">
        <v>4.0</v>
      </c>
      <c r="C15" s="308" t="s">
        <v>1332</v>
      </c>
      <c r="D15" s="309"/>
      <c r="E15" s="54"/>
      <c r="F15" s="152" t="s">
        <v>169</v>
      </c>
      <c r="G15" s="151"/>
      <c r="H15" s="151"/>
      <c r="I15" s="153"/>
    </row>
    <row r="16">
      <c r="B16" s="312">
        <v>6.0</v>
      </c>
      <c r="C16" s="308" t="s">
        <v>1333</v>
      </c>
      <c r="D16" s="309"/>
      <c r="F16" s="152" t="s">
        <v>169</v>
      </c>
      <c r="G16" s="151"/>
      <c r="H16" s="151"/>
      <c r="I16" s="153"/>
    </row>
    <row r="17">
      <c r="B17" s="305">
        <v>7.0</v>
      </c>
      <c r="C17" s="308" t="s">
        <v>1334</v>
      </c>
      <c r="D17" s="309"/>
      <c r="F17" s="152" t="s">
        <v>169</v>
      </c>
      <c r="G17" s="151"/>
      <c r="H17" s="151"/>
      <c r="I17" s="153"/>
    </row>
    <row r="18" ht="36.75" customHeight="1">
      <c r="B18" s="305">
        <v>8.0</v>
      </c>
      <c r="C18" s="308" t="s">
        <v>1335</v>
      </c>
      <c r="D18" s="309"/>
      <c r="F18" s="152" t="s">
        <v>169</v>
      </c>
      <c r="G18" s="151"/>
      <c r="H18" s="151"/>
      <c r="I18" s="153"/>
    </row>
    <row r="19" ht="34.5" customHeight="1">
      <c r="B19" s="305">
        <v>9.0</v>
      </c>
      <c r="C19" s="306" t="s">
        <v>1336</v>
      </c>
      <c r="D19" s="307"/>
      <c r="F19" s="152" t="s">
        <v>169</v>
      </c>
      <c r="G19" s="160"/>
      <c r="H19" s="160"/>
      <c r="I19" s="161"/>
    </row>
    <row r="20" ht="15.75" customHeight="1">
      <c r="B20" s="305">
        <v>10.0</v>
      </c>
      <c r="C20" s="317" t="s">
        <v>1337</v>
      </c>
      <c r="D20" s="318"/>
      <c r="F20" s="152" t="s">
        <v>169</v>
      </c>
      <c r="G20" s="151"/>
      <c r="H20" s="151"/>
      <c r="I20" s="153"/>
    </row>
    <row r="21" ht="15.75" customHeight="1">
      <c r="B21" s="305">
        <v>11.0</v>
      </c>
      <c r="C21" s="319" t="s">
        <v>1338</v>
      </c>
      <c r="D21" s="307"/>
      <c r="F21" s="152" t="s">
        <v>169</v>
      </c>
      <c r="G21" s="151"/>
      <c r="H21" s="151"/>
      <c r="I21" s="153"/>
    </row>
    <row r="22" ht="36.0" customHeight="1">
      <c r="B22" s="305">
        <v>12.0</v>
      </c>
      <c r="C22" s="306" t="s">
        <v>1339</v>
      </c>
      <c r="D22" s="307"/>
      <c r="F22" s="152" t="s">
        <v>169</v>
      </c>
      <c r="G22" s="151"/>
      <c r="H22" s="151"/>
      <c r="I22" s="153"/>
    </row>
    <row r="23" ht="15.75" customHeight="1">
      <c r="B23" s="305">
        <v>13.0</v>
      </c>
      <c r="C23" s="306" t="s">
        <v>1340</v>
      </c>
      <c r="D23" s="307"/>
      <c r="F23" s="152" t="s">
        <v>169</v>
      </c>
      <c r="G23" s="160"/>
      <c r="H23" s="160"/>
      <c r="I23" s="161"/>
    </row>
    <row r="24" ht="15.75" customHeight="1">
      <c r="B24" s="21" t="s">
        <v>1341</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22">
    <mergeCell ref="B2:I2"/>
    <mergeCell ref="K2:L2"/>
    <mergeCell ref="C4:D4"/>
    <mergeCell ref="C5:D5"/>
    <mergeCell ref="C6:D6"/>
    <mergeCell ref="F9:H9"/>
    <mergeCell ref="I9:I10"/>
    <mergeCell ref="C16:D16"/>
    <mergeCell ref="C17:D17"/>
    <mergeCell ref="C18:D18"/>
    <mergeCell ref="C19:D19"/>
    <mergeCell ref="C20:D20"/>
    <mergeCell ref="C21:D21"/>
    <mergeCell ref="C22:D22"/>
    <mergeCell ref="C23:D23"/>
    <mergeCell ref="B7:C7"/>
    <mergeCell ref="B10:D10"/>
    <mergeCell ref="C11:D11"/>
    <mergeCell ref="C12:D12"/>
    <mergeCell ref="C13:D13"/>
    <mergeCell ref="C14:D14"/>
    <mergeCell ref="C15:D15"/>
  </mergeCells>
  <printOptions/>
  <pageMargins bottom="0.75" footer="0.0" header="0.0" left="0.7" right="0.7" top="0.75"/>
  <pageSetup orientation="landscape"/>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57"/>
    <col customWidth="1" min="12" max="26" width="11.43"/>
  </cols>
  <sheetData>
    <row r="2" ht="21.75" customHeight="1">
      <c r="B2" s="26" t="s">
        <v>124</v>
      </c>
      <c r="C2" s="27"/>
      <c r="D2" s="27"/>
      <c r="E2" s="27"/>
      <c r="F2" s="27"/>
      <c r="G2" s="27"/>
      <c r="H2" s="27"/>
      <c r="I2" s="27"/>
      <c r="K2" s="299" t="s">
        <v>125</v>
      </c>
      <c r="L2" s="29"/>
    </row>
    <row r="3" ht="15.0" customHeight="1">
      <c r="K3" s="31" t="s">
        <v>126</v>
      </c>
      <c r="L3" s="32">
        <f>COUNT(B12:D99)</f>
        <v>22</v>
      </c>
    </row>
    <row r="4">
      <c r="B4" s="33" t="s">
        <v>127</v>
      </c>
      <c r="C4" s="34" t="s">
        <v>128</v>
      </c>
      <c r="E4" s="34"/>
      <c r="K4" s="31" t="s">
        <v>129</v>
      </c>
      <c r="L4" s="32">
        <f>COUNTIF(F12:F99,"X")</f>
        <v>22</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00" t="s">
        <v>1328</v>
      </c>
      <c r="C10" s="301"/>
      <c r="D10" s="301"/>
      <c r="E10" s="302"/>
      <c r="F10" s="44" t="s">
        <v>127</v>
      </c>
      <c r="G10" s="45" t="s">
        <v>130</v>
      </c>
      <c r="H10" s="45" t="s">
        <v>132</v>
      </c>
      <c r="I10" s="46"/>
      <c r="J10" s="67"/>
    </row>
    <row r="11" ht="11.25" customHeight="1">
      <c r="C11" s="303"/>
      <c r="D11" s="304"/>
    </row>
    <row r="12">
      <c r="B12" s="314">
        <v>1.0</v>
      </c>
      <c r="C12" s="315" t="s">
        <v>1342</v>
      </c>
      <c r="D12" s="316"/>
      <c r="E12" s="54"/>
      <c r="F12" s="152" t="s">
        <v>169</v>
      </c>
      <c r="G12" s="151"/>
      <c r="H12" s="151"/>
      <c r="I12" s="153"/>
    </row>
    <row r="13">
      <c r="B13" s="305">
        <v>2.0</v>
      </c>
      <c r="C13" s="308" t="s">
        <v>1343</v>
      </c>
      <c r="D13" s="309"/>
      <c r="E13" s="54"/>
      <c r="F13" s="152" t="s">
        <v>169</v>
      </c>
      <c r="G13" s="151"/>
      <c r="H13" s="151"/>
      <c r="I13" s="153"/>
    </row>
    <row r="14" ht="36.0" customHeight="1">
      <c r="B14" s="305">
        <v>3.0</v>
      </c>
      <c r="C14" s="306" t="s">
        <v>1344</v>
      </c>
      <c r="D14" s="307"/>
      <c r="E14" s="54"/>
      <c r="F14" s="152" t="s">
        <v>169</v>
      </c>
      <c r="G14" s="151"/>
      <c r="H14" s="151"/>
      <c r="I14" s="153"/>
    </row>
    <row r="15">
      <c r="B15" s="305">
        <v>4.0</v>
      </c>
      <c r="C15" s="308" t="s">
        <v>1345</v>
      </c>
      <c r="D15" s="309"/>
      <c r="E15" s="54"/>
      <c r="F15" s="152" t="s">
        <v>169</v>
      </c>
      <c r="G15" s="151"/>
      <c r="H15" s="151"/>
      <c r="I15" s="153"/>
    </row>
    <row r="16" ht="36.75" customHeight="1">
      <c r="B16" s="310">
        <v>5.0</v>
      </c>
      <c r="C16" s="311" t="s">
        <v>1346</v>
      </c>
      <c r="D16" s="309"/>
      <c r="E16" s="54"/>
      <c r="F16" s="152" t="s">
        <v>169</v>
      </c>
      <c r="G16" s="151"/>
      <c r="H16" s="151"/>
      <c r="I16" s="153"/>
    </row>
    <row r="17">
      <c r="B17" s="312">
        <v>6.0</v>
      </c>
      <c r="C17" s="308" t="s">
        <v>1347</v>
      </c>
      <c r="D17" s="309"/>
      <c r="F17" s="152" t="s">
        <v>169</v>
      </c>
      <c r="G17" s="151"/>
      <c r="H17" s="151"/>
      <c r="I17" s="153"/>
    </row>
    <row r="18" ht="34.5" customHeight="1">
      <c r="B18" s="305">
        <v>7.0</v>
      </c>
      <c r="C18" s="308" t="s">
        <v>1348</v>
      </c>
      <c r="D18" s="309"/>
      <c r="F18" s="152" t="s">
        <v>169</v>
      </c>
      <c r="G18" s="151"/>
      <c r="H18" s="151"/>
      <c r="I18" s="153"/>
    </row>
    <row r="19" ht="33.75" customHeight="1">
      <c r="B19" s="305">
        <v>8.0</v>
      </c>
      <c r="C19" s="308" t="s">
        <v>1349</v>
      </c>
      <c r="D19" s="309"/>
      <c r="F19" s="152" t="s">
        <v>169</v>
      </c>
      <c r="G19" s="151"/>
      <c r="H19" s="151"/>
      <c r="I19" s="153"/>
    </row>
    <row r="20" ht="34.5" customHeight="1">
      <c r="B20" s="305">
        <v>9.0</v>
      </c>
      <c r="C20" s="306" t="s">
        <v>1350</v>
      </c>
      <c r="D20" s="307"/>
      <c r="F20" s="152" t="s">
        <v>169</v>
      </c>
      <c r="G20" s="160"/>
      <c r="H20" s="160"/>
      <c r="I20" s="161"/>
    </row>
    <row r="21" ht="15.75" customHeight="1">
      <c r="B21" s="305">
        <v>10.0</v>
      </c>
      <c r="C21" s="317" t="s">
        <v>1351</v>
      </c>
      <c r="D21" s="318"/>
      <c r="F21" s="152" t="s">
        <v>169</v>
      </c>
      <c r="G21" s="151"/>
      <c r="H21" s="151"/>
      <c r="I21" s="153"/>
    </row>
    <row r="22" ht="41.25" customHeight="1">
      <c r="B22" s="305">
        <v>11.0</v>
      </c>
      <c r="C22" s="319" t="s">
        <v>1352</v>
      </c>
      <c r="D22" s="307"/>
      <c r="F22" s="152" t="s">
        <v>169</v>
      </c>
      <c r="G22" s="151"/>
      <c r="H22" s="151"/>
      <c r="I22" s="153"/>
    </row>
    <row r="23" ht="15.75" customHeight="1">
      <c r="B23" s="305">
        <v>12.0</v>
      </c>
      <c r="C23" s="306" t="s">
        <v>1353</v>
      </c>
      <c r="D23" s="307"/>
      <c r="F23" s="152" t="s">
        <v>169</v>
      </c>
      <c r="G23" s="151"/>
      <c r="H23" s="151"/>
      <c r="I23" s="153"/>
    </row>
    <row r="24" ht="34.5" customHeight="1">
      <c r="B24" s="305">
        <v>13.0</v>
      </c>
      <c r="C24" s="306" t="s">
        <v>1344</v>
      </c>
      <c r="D24" s="307"/>
      <c r="F24" s="152" t="s">
        <v>169</v>
      </c>
      <c r="G24" s="160"/>
      <c r="H24" s="160"/>
      <c r="I24" s="161"/>
    </row>
    <row r="25" ht="15.75" customHeight="1">
      <c r="B25" s="305">
        <v>14.0</v>
      </c>
      <c r="C25" s="306" t="s">
        <v>1345</v>
      </c>
      <c r="D25" s="307"/>
      <c r="F25" s="152" t="s">
        <v>169</v>
      </c>
      <c r="G25" s="31"/>
      <c r="H25" s="31"/>
      <c r="I25" s="31"/>
    </row>
    <row r="26" ht="36.0" customHeight="1">
      <c r="B26" s="305">
        <v>15.0</v>
      </c>
      <c r="C26" s="306" t="s">
        <v>1346</v>
      </c>
      <c r="D26" s="307"/>
      <c r="F26" s="152" t="s">
        <v>169</v>
      </c>
      <c r="G26" s="31"/>
      <c r="H26" s="31"/>
      <c r="I26" s="31"/>
    </row>
    <row r="27" ht="15.75" customHeight="1">
      <c r="B27" s="305">
        <v>16.0</v>
      </c>
      <c r="C27" s="306" t="s">
        <v>1347</v>
      </c>
      <c r="D27" s="307"/>
      <c r="F27" s="152" t="s">
        <v>169</v>
      </c>
      <c r="G27" s="31"/>
      <c r="H27" s="31"/>
      <c r="I27" s="31"/>
    </row>
    <row r="28" ht="36.75" customHeight="1">
      <c r="B28" s="305">
        <v>17.0</v>
      </c>
      <c r="C28" s="306" t="s">
        <v>1348</v>
      </c>
      <c r="D28" s="307"/>
      <c r="F28" s="152" t="s">
        <v>169</v>
      </c>
      <c r="G28" s="31"/>
      <c r="H28" s="31"/>
      <c r="I28" s="31"/>
    </row>
    <row r="29" ht="32.25" customHeight="1">
      <c r="B29" s="305">
        <v>18.0</v>
      </c>
      <c r="C29" s="306" t="s">
        <v>1349</v>
      </c>
      <c r="D29" s="307"/>
      <c r="F29" s="152" t="s">
        <v>169</v>
      </c>
      <c r="G29" s="31"/>
      <c r="H29" s="31"/>
      <c r="I29" s="31"/>
    </row>
    <row r="30" ht="33.75" customHeight="1">
      <c r="B30" s="305">
        <v>19.0</v>
      </c>
      <c r="C30" s="306" t="s">
        <v>1350</v>
      </c>
      <c r="D30" s="307"/>
      <c r="F30" s="152" t="s">
        <v>169</v>
      </c>
      <c r="G30" s="31"/>
      <c r="H30" s="31"/>
      <c r="I30" s="31"/>
    </row>
    <row r="31" ht="33.75" customHeight="1">
      <c r="B31" s="305">
        <v>20.0</v>
      </c>
      <c r="C31" s="306" t="s">
        <v>1351</v>
      </c>
      <c r="D31" s="307"/>
      <c r="F31" s="152" t="s">
        <v>169</v>
      </c>
      <c r="G31" s="31"/>
      <c r="H31" s="31"/>
      <c r="I31" s="31"/>
    </row>
    <row r="32" ht="37.5" customHeight="1">
      <c r="B32" s="305">
        <v>21.0</v>
      </c>
      <c r="C32" s="306" t="s">
        <v>1352</v>
      </c>
      <c r="D32" s="307"/>
      <c r="F32" s="152" t="s">
        <v>169</v>
      </c>
      <c r="G32" s="31"/>
      <c r="H32" s="31"/>
      <c r="I32" s="31"/>
    </row>
    <row r="33" ht="39.75" customHeight="1">
      <c r="B33" s="305">
        <v>22.0</v>
      </c>
      <c r="C33" s="306" t="s">
        <v>1354</v>
      </c>
      <c r="D33" s="307"/>
      <c r="F33" s="152" t="s">
        <v>169</v>
      </c>
      <c r="G33" s="31"/>
      <c r="H33" s="31"/>
      <c r="I33" s="31"/>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16:D16"/>
    <mergeCell ref="C17:D17"/>
    <mergeCell ref="C18:D18"/>
    <mergeCell ref="C19:D19"/>
    <mergeCell ref="C20:D20"/>
    <mergeCell ref="C21:D21"/>
    <mergeCell ref="C22:D22"/>
    <mergeCell ref="C30:D30"/>
    <mergeCell ref="C31:D31"/>
    <mergeCell ref="C32:D32"/>
    <mergeCell ref="C33:D33"/>
    <mergeCell ref="C23:D23"/>
    <mergeCell ref="C24:D24"/>
    <mergeCell ref="C25:D25"/>
    <mergeCell ref="C26:D26"/>
    <mergeCell ref="C27:D27"/>
    <mergeCell ref="C28:D28"/>
    <mergeCell ref="C29:D29"/>
  </mergeCells>
  <printOptions/>
  <pageMargins bottom="0.75" footer="0.0" header="0.0" left="0.7" right="0.7" top="0.75"/>
  <pageSetup orientation="landscape"/>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3366"/>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57"/>
    <col customWidth="1" min="12" max="26" width="11.43"/>
  </cols>
  <sheetData>
    <row r="2" ht="21.75" customHeight="1">
      <c r="B2" s="26" t="s">
        <v>124</v>
      </c>
      <c r="C2" s="27"/>
      <c r="D2" s="27"/>
      <c r="E2" s="27"/>
      <c r="F2" s="27"/>
      <c r="G2" s="27"/>
      <c r="H2" s="27"/>
      <c r="I2" s="27"/>
      <c r="K2" s="299" t="s">
        <v>125</v>
      </c>
      <c r="L2" s="29"/>
    </row>
    <row r="3" ht="15.0" customHeight="1">
      <c r="K3" s="31" t="s">
        <v>126</v>
      </c>
      <c r="L3" s="32">
        <f>COUNT(B12:D86)</f>
        <v>9</v>
      </c>
    </row>
    <row r="4">
      <c r="B4" s="33" t="s">
        <v>127</v>
      </c>
      <c r="C4" s="34" t="s">
        <v>128</v>
      </c>
      <c r="E4" s="34"/>
      <c r="K4" s="31" t="s">
        <v>129</v>
      </c>
      <c r="L4" s="32">
        <f>COUNTIF(F12:F86,"X")</f>
        <v>9</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00" t="s">
        <v>1355</v>
      </c>
      <c r="C10" s="301"/>
      <c r="D10" s="301"/>
      <c r="E10" s="302"/>
      <c r="F10" s="44" t="s">
        <v>127</v>
      </c>
      <c r="G10" s="45" t="s">
        <v>130</v>
      </c>
      <c r="H10" s="45" t="s">
        <v>132</v>
      </c>
      <c r="I10" s="46"/>
      <c r="J10" s="67"/>
    </row>
    <row r="11" ht="11.25" customHeight="1">
      <c r="C11" s="303"/>
      <c r="D11" s="304"/>
    </row>
    <row r="12">
      <c r="B12" s="305">
        <v>1.0</v>
      </c>
      <c r="C12" s="308" t="s">
        <v>1356</v>
      </c>
      <c r="D12" s="309"/>
      <c r="E12" s="54"/>
      <c r="F12" s="152" t="s">
        <v>169</v>
      </c>
      <c r="G12" s="151"/>
      <c r="H12" s="151"/>
      <c r="I12" s="153"/>
    </row>
    <row r="13" ht="36.0" customHeight="1">
      <c r="B13" s="305">
        <v>2.0</v>
      </c>
      <c r="C13" s="306" t="s">
        <v>1357</v>
      </c>
      <c r="D13" s="307"/>
      <c r="E13" s="54"/>
      <c r="F13" s="152" t="s">
        <v>169</v>
      </c>
      <c r="G13" s="151"/>
      <c r="H13" s="151"/>
      <c r="I13" s="153"/>
    </row>
    <row r="14" ht="41.25" customHeight="1">
      <c r="B14" s="305">
        <v>3.0</v>
      </c>
      <c r="C14" s="308" t="s">
        <v>1358</v>
      </c>
      <c r="D14" s="309"/>
      <c r="E14" s="54"/>
      <c r="F14" s="152" t="s">
        <v>169</v>
      </c>
      <c r="G14" s="151"/>
      <c r="H14" s="151"/>
      <c r="I14" s="153"/>
    </row>
    <row r="15">
      <c r="B15" s="312">
        <v>5.0</v>
      </c>
      <c r="C15" s="308" t="s">
        <v>1359</v>
      </c>
      <c r="D15" s="309"/>
      <c r="F15" s="152" t="s">
        <v>169</v>
      </c>
      <c r="G15" s="151"/>
      <c r="H15" s="151"/>
      <c r="I15" s="153"/>
    </row>
    <row r="16" ht="34.5" customHeight="1">
      <c r="B16" s="305">
        <v>6.0</v>
      </c>
      <c r="C16" s="308" t="s">
        <v>1360</v>
      </c>
      <c r="D16" s="309"/>
      <c r="F16" s="152" t="s">
        <v>169</v>
      </c>
      <c r="G16" s="151"/>
      <c r="H16" s="151"/>
      <c r="I16" s="153"/>
    </row>
    <row r="17" ht="33.75" customHeight="1">
      <c r="B17" s="305">
        <v>7.0</v>
      </c>
      <c r="C17" s="308" t="s">
        <v>1361</v>
      </c>
      <c r="D17" s="309"/>
      <c r="F17" s="152" t="s">
        <v>169</v>
      </c>
      <c r="G17" s="151"/>
      <c r="H17" s="151"/>
      <c r="I17" s="153"/>
    </row>
    <row r="18" ht="34.5" customHeight="1">
      <c r="B18" s="305">
        <v>8.0</v>
      </c>
      <c r="C18" s="306" t="s">
        <v>1362</v>
      </c>
      <c r="D18" s="307"/>
      <c r="F18" s="152" t="s">
        <v>169</v>
      </c>
      <c r="G18" s="160"/>
      <c r="H18" s="160"/>
      <c r="I18" s="161"/>
    </row>
    <row r="19">
      <c r="B19" s="305">
        <v>9.0</v>
      </c>
      <c r="C19" s="317" t="s">
        <v>1363</v>
      </c>
      <c r="D19" s="318"/>
      <c r="F19" s="152" t="s">
        <v>169</v>
      </c>
      <c r="G19" s="151"/>
      <c r="H19" s="151"/>
      <c r="I19" s="153"/>
    </row>
    <row r="20" ht="41.25" customHeight="1">
      <c r="B20" s="305">
        <v>10.0</v>
      </c>
      <c r="C20" s="319" t="s">
        <v>1364</v>
      </c>
      <c r="D20" s="307"/>
      <c r="F20" s="152" t="s">
        <v>169</v>
      </c>
      <c r="G20" s="151"/>
      <c r="H20" s="151"/>
      <c r="I20" s="15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9">
    <mergeCell ref="B2:I2"/>
    <mergeCell ref="K2:L2"/>
    <mergeCell ref="C4:D4"/>
    <mergeCell ref="C5:D5"/>
    <mergeCell ref="C6:D6"/>
    <mergeCell ref="F9:H9"/>
    <mergeCell ref="I9:I10"/>
    <mergeCell ref="C16:D16"/>
    <mergeCell ref="C17:D17"/>
    <mergeCell ref="C18:D18"/>
    <mergeCell ref="C19:D19"/>
    <mergeCell ref="C20:D20"/>
    <mergeCell ref="B7:C7"/>
    <mergeCell ref="B10:D10"/>
    <mergeCell ref="C11:D11"/>
    <mergeCell ref="C12:D12"/>
    <mergeCell ref="C13:D13"/>
    <mergeCell ref="C14:D14"/>
    <mergeCell ref="C15:D15"/>
  </mergeCells>
  <printOptions/>
  <pageMargins bottom="0.75" footer="0.0" header="0.0" left="0.7" right="0.7" top="0.75"/>
  <pageSetup orientation="landscape"/>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3366"/>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57"/>
    <col customWidth="1" min="12" max="26" width="11.43"/>
  </cols>
  <sheetData>
    <row r="2" ht="21.75" customHeight="1">
      <c r="B2" s="26" t="s">
        <v>124</v>
      </c>
      <c r="C2" s="27"/>
      <c r="D2" s="27"/>
      <c r="E2" s="27"/>
      <c r="F2" s="27"/>
      <c r="G2" s="27"/>
      <c r="H2" s="27"/>
      <c r="I2" s="27"/>
      <c r="K2" s="299" t="s">
        <v>125</v>
      </c>
      <c r="L2" s="29"/>
    </row>
    <row r="3" ht="15.0" customHeight="1">
      <c r="K3" s="31" t="s">
        <v>126</v>
      </c>
      <c r="L3" s="32">
        <f>COUNT(B12:D94)</f>
        <v>17</v>
      </c>
    </row>
    <row r="4">
      <c r="B4" s="33" t="s">
        <v>127</v>
      </c>
      <c r="C4" s="34" t="s">
        <v>128</v>
      </c>
      <c r="E4" s="34"/>
      <c r="K4" s="31" t="s">
        <v>129</v>
      </c>
      <c r="L4" s="32">
        <f>COUNTIF(F12:F94,"X")</f>
        <v>17</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00" t="s">
        <v>1365</v>
      </c>
      <c r="C10" s="301"/>
      <c r="D10" s="301"/>
      <c r="E10" s="302"/>
      <c r="F10" s="44" t="s">
        <v>127</v>
      </c>
      <c r="G10" s="45" t="s">
        <v>130</v>
      </c>
      <c r="H10" s="45" t="s">
        <v>132</v>
      </c>
      <c r="I10" s="46"/>
      <c r="J10" s="67"/>
    </row>
    <row r="11" ht="11.25" customHeight="1">
      <c r="C11" s="303"/>
      <c r="D11" s="304"/>
    </row>
    <row r="12" ht="37.5" customHeight="1">
      <c r="B12" s="305">
        <v>1.0</v>
      </c>
      <c r="C12" s="308" t="s">
        <v>1366</v>
      </c>
      <c r="D12" s="309"/>
      <c r="E12" s="54"/>
      <c r="F12" s="152" t="s">
        <v>169</v>
      </c>
      <c r="G12" s="151"/>
      <c r="H12" s="151"/>
      <c r="I12" s="153"/>
    </row>
    <row r="13" ht="36.0" customHeight="1">
      <c r="B13" s="305">
        <v>2.0</v>
      </c>
      <c r="C13" s="306" t="s">
        <v>1367</v>
      </c>
      <c r="D13" s="307"/>
      <c r="E13" s="54"/>
      <c r="F13" s="152" t="s">
        <v>169</v>
      </c>
      <c r="G13" s="151"/>
      <c r="H13" s="151"/>
      <c r="I13" s="153"/>
    </row>
    <row r="14" ht="40.5" customHeight="1">
      <c r="B14" s="305">
        <v>3.0</v>
      </c>
      <c r="C14" s="308" t="s">
        <v>1368</v>
      </c>
      <c r="D14" s="309"/>
      <c r="E14" s="54"/>
      <c r="F14" s="152" t="s">
        <v>169</v>
      </c>
      <c r="G14" s="151"/>
      <c r="H14" s="151"/>
      <c r="I14" s="153"/>
    </row>
    <row r="15" ht="36.75" customHeight="1">
      <c r="B15" s="310">
        <v>4.0</v>
      </c>
      <c r="C15" s="311" t="s">
        <v>1369</v>
      </c>
      <c r="D15" s="309"/>
      <c r="E15" s="54"/>
      <c r="F15" s="152" t="s">
        <v>169</v>
      </c>
      <c r="G15" s="151"/>
      <c r="H15" s="151"/>
      <c r="I15" s="153"/>
    </row>
    <row r="16" ht="35.25" customHeight="1">
      <c r="B16" s="312">
        <v>5.0</v>
      </c>
      <c r="C16" s="308" t="s">
        <v>1370</v>
      </c>
      <c r="D16" s="309"/>
      <c r="F16" s="152" t="s">
        <v>169</v>
      </c>
      <c r="G16" s="151"/>
      <c r="H16" s="151"/>
      <c r="I16" s="153"/>
    </row>
    <row r="17" ht="34.5" customHeight="1">
      <c r="B17" s="305">
        <v>6.0</v>
      </c>
      <c r="C17" s="308" t="s">
        <v>1371</v>
      </c>
      <c r="D17" s="309"/>
      <c r="F17" s="152" t="s">
        <v>169</v>
      </c>
      <c r="G17" s="151"/>
      <c r="H17" s="151"/>
      <c r="I17" s="153"/>
    </row>
    <row r="18" ht="33.75" customHeight="1">
      <c r="B18" s="305">
        <v>7.0</v>
      </c>
      <c r="C18" s="308" t="s">
        <v>1372</v>
      </c>
      <c r="D18" s="309"/>
      <c r="F18" s="152" t="s">
        <v>169</v>
      </c>
      <c r="G18" s="151"/>
      <c r="H18" s="151"/>
      <c r="I18" s="153"/>
    </row>
    <row r="19" ht="34.5" customHeight="1">
      <c r="B19" s="305">
        <v>8.0</v>
      </c>
      <c r="C19" s="306" t="s">
        <v>1373</v>
      </c>
      <c r="D19" s="307"/>
      <c r="F19" s="152" t="s">
        <v>169</v>
      </c>
      <c r="G19" s="160"/>
      <c r="H19" s="160"/>
      <c r="I19" s="161"/>
    </row>
    <row r="20">
      <c r="B20" s="305">
        <v>9.0</v>
      </c>
      <c r="C20" s="317" t="s">
        <v>1374</v>
      </c>
      <c r="D20" s="318"/>
      <c r="F20" s="152" t="s">
        <v>169</v>
      </c>
      <c r="G20" s="151"/>
      <c r="H20" s="151"/>
      <c r="I20" s="153"/>
    </row>
    <row r="21" ht="41.25" customHeight="1">
      <c r="B21" s="305">
        <v>10.0</v>
      </c>
      <c r="C21" s="319" t="s">
        <v>1375</v>
      </c>
      <c r="D21" s="307"/>
      <c r="F21" s="152" t="s">
        <v>169</v>
      </c>
      <c r="G21" s="151"/>
      <c r="H21" s="151"/>
      <c r="I21" s="153"/>
    </row>
    <row r="22" ht="34.5" customHeight="1">
      <c r="B22" s="305">
        <v>11.0</v>
      </c>
      <c r="C22" s="306" t="s">
        <v>1376</v>
      </c>
      <c r="D22" s="307"/>
      <c r="F22" s="152" t="s">
        <v>169</v>
      </c>
      <c r="G22" s="151"/>
      <c r="H22" s="151"/>
      <c r="I22" s="153"/>
    </row>
    <row r="23" ht="34.5" customHeight="1">
      <c r="B23" s="305">
        <v>12.0</v>
      </c>
      <c r="C23" s="306" t="s">
        <v>1377</v>
      </c>
      <c r="D23" s="307"/>
      <c r="F23" s="152" t="s">
        <v>169</v>
      </c>
      <c r="G23" s="160"/>
      <c r="H23" s="160"/>
      <c r="I23" s="161"/>
    </row>
    <row r="24" ht="36.75" customHeight="1">
      <c r="B24" s="305">
        <v>13.0</v>
      </c>
      <c r="C24" s="306" t="s">
        <v>1378</v>
      </c>
      <c r="D24" s="307"/>
      <c r="F24" s="152" t="s">
        <v>169</v>
      </c>
      <c r="G24" s="31"/>
      <c r="H24" s="31"/>
      <c r="I24" s="31"/>
    </row>
    <row r="25" ht="36.0" customHeight="1">
      <c r="B25" s="305">
        <v>14.0</v>
      </c>
      <c r="C25" s="306" t="s">
        <v>1379</v>
      </c>
      <c r="D25" s="307"/>
      <c r="F25" s="152" t="s">
        <v>169</v>
      </c>
      <c r="G25" s="31"/>
      <c r="H25" s="31"/>
      <c r="I25" s="31"/>
    </row>
    <row r="26" ht="35.25" customHeight="1">
      <c r="B26" s="305">
        <v>15.0</v>
      </c>
      <c r="C26" s="306" t="s">
        <v>1380</v>
      </c>
      <c r="D26" s="307"/>
      <c r="F26" s="152" t="s">
        <v>169</v>
      </c>
      <c r="G26" s="31"/>
      <c r="H26" s="31"/>
      <c r="I26" s="31"/>
    </row>
    <row r="27" ht="36.75" customHeight="1">
      <c r="B27" s="305">
        <v>16.0</v>
      </c>
      <c r="C27" s="306" t="s">
        <v>1381</v>
      </c>
      <c r="D27" s="307"/>
      <c r="F27" s="152" t="s">
        <v>169</v>
      </c>
      <c r="G27" s="31"/>
      <c r="H27" s="31"/>
      <c r="I27" s="31"/>
    </row>
    <row r="28" ht="32.25" customHeight="1">
      <c r="B28" s="305">
        <v>17.0</v>
      </c>
      <c r="C28" s="306" t="s">
        <v>1382</v>
      </c>
      <c r="D28" s="307"/>
      <c r="F28" s="152" t="s">
        <v>169</v>
      </c>
      <c r="G28" s="31"/>
      <c r="H28" s="31"/>
      <c r="I28" s="31"/>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23:D23"/>
    <mergeCell ref="C24:D24"/>
    <mergeCell ref="C25:D25"/>
    <mergeCell ref="C26:D26"/>
    <mergeCell ref="C27:D27"/>
    <mergeCell ref="C28:D28"/>
    <mergeCell ref="C16:D16"/>
    <mergeCell ref="C17:D17"/>
    <mergeCell ref="C18:D18"/>
    <mergeCell ref="C19:D19"/>
    <mergeCell ref="C20:D20"/>
    <mergeCell ref="C21:D21"/>
    <mergeCell ref="C22:D22"/>
  </mergeCells>
  <printOptions/>
  <pageMargins bottom="0.75" footer="0.0" header="0.0" left="0.7" right="0.7" top="0.75"/>
  <pageSetup orientation="landscape"/>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57"/>
    <col customWidth="1" min="12" max="26" width="11.43"/>
  </cols>
  <sheetData>
    <row r="2" ht="21.75" customHeight="1">
      <c r="B2" s="26" t="s">
        <v>124</v>
      </c>
      <c r="C2" s="27"/>
      <c r="D2" s="27"/>
      <c r="E2" s="27"/>
      <c r="F2" s="27"/>
      <c r="G2" s="27"/>
      <c r="H2" s="27"/>
      <c r="I2" s="27"/>
      <c r="K2" s="299" t="s">
        <v>125</v>
      </c>
      <c r="L2" s="29"/>
    </row>
    <row r="3" ht="15.0" customHeight="1">
      <c r="K3" s="31" t="s">
        <v>126</v>
      </c>
      <c r="L3" s="32">
        <f>COUNT(B12:D91)</f>
        <v>14</v>
      </c>
    </row>
    <row r="4">
      <c r="B4" s="33" t="s">
        <v>127</v>
      </c>
      <c r="C4" s="34" t="s">
        <v>128</v>
      </c>
      <c r="E4" s="34"/>
      <c r="K4" s="31" t="s">
        <v>129</v>
      </c>
      <c r="L4" s="32">
        <f>COUNTIF(F12:F91,"X")</f>
        <v>14</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00" t="s">
        <v>1383</v>
      </c>
      <c r="C10" s="301"/>
      <c r="D10" s="301"/>
      <c r="E10" s="302"/>
      <c r="F10" s="44" t="s">
        <v>127</v>
      </c>
      <c r="G10" s="45" t="s">
        <v>130</v>
      </c>
      <c r="H10" s="45" t="s">
        <v>132</v>
      </c>
      <c r="I10" s="46"/>
      <c r="J10" s="67"/>
    </row>
    <row r="11" ht="11.25" customHeight="1">
      <c r="C11" s="303"/>
      <c r="D11" s="304"/>
    </row>
    <row r="12" ht="36.0" customHeight="1">
      <c r="B12" s="305">
        <v>1.0</v>
      </c>
      <c r="C12" s="306" t="s">
        <v>1384</v>
      </c>
      <c r="D12" s="307"/>
      <c r="E12" s="54"/>
      <c r="F12" s="152" t="s">
        <v>169</v>
      </c>
      <c r="G12" s="151"/>
      <c r="H12" s="151"/>
      <c r="I12" s="153"/>
    </row>
    <row r="13" ht="40.5" customHeight="1">
      <c r="B13" s="305">
        <v>2.0</v>
      </c>
      <c r="C13" s="308" t="s">
        <v>1385</v>
      </c>
      <c r="D13" s="309"/>
      <c r="E13" s="54"/>
      <c r="F13" s="152" t="s">
        <v>169</v>
      </c>
      <c r="G13" s="151"/>
      <c r="H13" s="151"/>
      <c r="I13" s="153"/>
    </row>
    <row r="14" ht="36.75" customHeight="1">
      <c r="B14" s="310">
        <v>3.0</v>
      </c>
      <c r="C14" s="311" t="s">
        <v>1386</v>
      </c>
      <c r="D14" s="309"/>
      <c r="E14" s="54"/>
      <c r="F14" s="152" t="s">
        <v>169</v>
      </c>
      <c r="G14" s="151"/>
      <c r="H14" s="151"/>
      <c r="I14" s="153"/>
    </row>
    <row r="15" ht="35.25" customHeight="1">
      <c r="B15" s="312">
        <v>4.0</v>
      </c>
      <c r="C15" s="308" t="s">
        <v>1387</v>
      </c>
      <c r="D15" s="309"/>
      <c r="F15" s="152" t="s">
        <v>169</v>
      </c>
      <c r="G15" s="151"/>
      <c r="H15" s="151"/>
      <c r="I15" s="153"/>
    </row>
    <row r="16" ht="34.5" customHeight="1">
      <c r="B16" s="305">
        <v>5.0</v>
      </c>
      <c r="C16" s="308" t="s">
        <v>1388</v>
      </c>
      <c r="D16" s="309"/>
      <c r="F16" s="152" t="s">
        <v>169</v>
      </c>
      <c r="G16" s="151"/>
      <c r="H16" s="151"/>
      <c r="I16" s="153"/>
    </row>
    <row r="17" ht="33.75" customHeight="1">
      <c r="B17" s="305">
        <v>6.0</v>
      </c>
      <c r="C17" s="308" t="s">
        <v>1389</v>
      </c>
      <c r="D17" s="309"/>
      <c r="F17" s="152" t="s">
        <v>169</v>
      </c>
      <c r="G17" s="151"/>
      <c r="H17" s="151"/>
      <c r="I17" s="153"/>
    </row>
    <row r="18" ht="34.5" customHeight="1">
      <c r="B18" s="305">
        <v>7.0</v>
      </c>
      <c r="C18" s="306" t="s">
        <v>1390</v>
      </c>
      <c r="D18" s="307"/>
      <c r="F18" s="152" t="s">
        <v>169</v>
      </c>
      <c r="G18" s="160"/>
      <c r="H18" s="160"/>
      <c r="I18" s="161"/>
    </row>
    <row r="19">
      <c r="B19" s="305">
        <v>8.0</v>
      </c>
      <c r="C19" s="317" t="s">
        <v>1391</v>
      </c>
      <c r="D19" s="318"/>
      <c r="F19" s="152" t="s">
        <v>169</v>
      </c>
      <c r="G19" s="151"/>
      <c r="H19" s="151"/>
      <c r="I19" s="153"/>
    </row>
    <row r="20" ht="41.25" customHeight="1">
      <c r="B20" s="305">
        <v>9.0</v>
      </c>
      <c r="C20" s="319" t="s">
        <v>1392</v>
      </c>
      <c r="D20" s="307"/>
      <c r="F20" s="152" t="s">
        <v>169</v>
      </c>
      <c r="G20" s="151"/>
      <c r="H20" s="151"/>
      <c r="I20" s="153"/>
    </row>
    <row r="21" ht="34.5" customHeight="1">
      <c r="B21" s="305">
        <v>10.0</v>
      </c>
      <c r="C21" s="306" t="s">
        <v>1393</v>
      </c>
      <c r="D21" s="307"/>
      <c r="F21" s="152" t="s">
        <v>169</v>
      </c>
      <c r="G21" s="151"/>
      <c r="H21" s="151"/>
      <c r="I21" s="153"/>
    </row>
    <row r="22" ht="34.5" customHeight="1">
      <c r="B22" s="305">
        <v>11.0</v>
      </c>
      <c r="C22" s="306" t="s">
        <v>1394</v>
      </c>
      <c r="D22" s="307"/>
      <c r="F22" s="152" t="s">
        <v>169</v>
      </c>
      <c r="G22" s="160"/>
      <c r="H22" s="160"/>
      <c r="I22" s="161"/>
    </row>
    <row r="23" ht="36.75" customHeight="1">
      <c r="B23" s="305">
        <v>12.0</v>
      </c>
      <c r="C23" s="306" t="s">
        <v>1395</v>
      </c>
      <c r="D23" s="307"/>
      <c r="F23" s="152" t="s">
        <v>169</v>
      </c>
      <c r="G23" s="31"/>
      <c r="H23" s="31"/>
      <c r="I23" s="31"/>
    </row>
    <row r="24" ht="36.0" customHeight="1">
      <c r="B24" s="305">
        <v>13.0</v>
      </c>
      <c r="C24" s="306" t="s">
        <v>1396</v>
      </c>
      <c r="D24" s="307"/>
      <c r="F24" s="152" t="s">
        <v>169</v>
      </c>
      <c r="G24" s="31"/>
      <c r="H24" s="31"/>
      <c r="I24" s="31"/>
    </row>
    <row r="25" ht="35.25" customHeight="1">
      <c r="B25" s="305">
        <v>14.0</v>
      </c>
      <c r="C25" s="306" t="s">
        <v>1397</v>
      </c>
      <c r="D25" s="307"/>
      <c r="F25" s="152" t="s">
        <v>169</v>
      </c>
      <c r="G25" s="31"/>
      <c r="H25" s="31"/>
      <c r="I25" s="31"/>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23:D23"/>
    <mergeCell ref="C24:D24"/>
    <mergeCell ref="C25:D25"/>
    <mergeCell ref="C16:D16"/>
    <mergeCell ref="C17:D17"/>
    <mergeCell ref="C18:D18"/>
    <mergeCell ref="C19:D19"/>
    <mergeCell ref="C20:D20"/>
    <mergeCell ref="C21:D21"/>
    <mergeCell ref="C22:D22"/>
  </mergeCells>
  <printOptions/>
  <pageMargins bottom="0.75" footer="0.0" header="0.0" left="0.7" right="0.7" top="0.75"/>
  <pageSetup orientation="landscape"/>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57"/>
    <col customWidth="1" min="12" max="26" width="11.43"/>
  </cols>
  <sheetData>
    <row r="2" ht="21.75" customHeight="1">
      <c r="B2" s="26" t="s">
        <v>124</v>
      </c>
      <c r="C2" s="27"/>
      <c r="D2" s="27"/>
      <c r="E2" s="27"/>
      <c r="F2" s="27"/>
      <c r="G2" s="27"/>
      <c r="H2" s="27"/>
      <c r="I2" s="27"/>
      <c r="K2" s="299" t="s">
        <v>125</v>
      </c>
      <c r="L2" s="29"/>
    </row>
    <row r="3" ht="15.0" customHeight="1">
      <c r="K3" s="31" t="s">
        <v>126</v>
      </c>
      <c r="L3" s="32">
        <f>COUNT(B12:D93)</f>
        <v>16</v>
      </c>
    </row>
    <row r="4">
      <c r="B4" s="33" t="s">
        <v>127</v>
      </c>
      <c r="C4" s="34" t="s">
        <v>128</v>
      </c>
      <c r="E4" s="34"/>
      <c r="K4" s="31" t="s">
        <v>129</v>
      </c>
      <c r="L4" s="32">
        <f>COUNTIF(F12:F93,"X")</f>
        <v>16</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00" t="s">
        <v>1398</v>
      </c>
      <c r="C10" s="301"/>
      <c r="D10" s="301"/>
      <c r="E10" s="302"/>
      <c r="F10" s="44" t="s">
        <v>127</v>
      </c>
      <c r="G10" s="45" t="s">
        <v>130</v>
      </c>
      <c r="H10" s="45" t="s">
        <v>132</v>
      </c>
      <c r="I10" s="46"/>
      <c r="J10" s="67"/>
    </row>
    <row r="11" ht="11.25" customHeight="1">
      <c r="C11" s="303"/>
      <c r="D11" s="304"/>
    </row>
    <row r="12" ht="36.0" customHeight="1">
      <c r="B12" s="305">
        <v>1.0</v>
      </c>
      <c r="C12" s="306" t="s">
        <v>1399</v>
      </c>
      <c r="D12" s="307"/>
      <c r="E12" s="54"/>
      <c r="F12" s="152" t="s">
        <v>169</v>
      </c>
      <c r="G12" s="151"/>
      <c r="H12" s="151"/>
      <c r="I12" s="153"/>
    </row>
    <row r="13" ht="40.5" customHeight="1">
      <c r="B13" s="305">
        <v>2.0</v>
      </c>
      <c r="C13" s="308" t="s">
        <v>1400</v>
      </c>
      <c r="D13" s="309"/>
      <c r="E13" s="54"/>
      <c r="F13" s="152" t="s">
        <v>169</v>
      </c>
      <c r="G13" s="151"/>
      <c r="H13" s="151"/>
      <c r="I13" s="153"/>
    </row>
    <row r="14" ht="36.75" customHeight="1">
      <c r="B14" s="310">
        <v>3.0</v>
      </c>
      <c r="C14" s="311" t="s">
        <v>1401</v>
      </c>
      <c r="D14" s="309"/>
      <c r="E14" s="54"/>
      <c r="F14" s="152" t="s">
        <v>169</v>
      </c>
      <c r="G14" s="151"/>
      <c r="H14" s="151"/>
      <c r="I14" s="153"/>
    </row>
    <row r="15" ht="35.25" customHeight="1">
      <c r="B15" s="312">
        <v>4.0</v>
      </c>
      <c r="C15" s="308" t="s">
        <v>1402</v>
      </c>
      <c r="D15" s="309"/>
      <c r="F15" s="152" t="s">
        <v>169</v>
      </c>
      <c r="G15" s="151"/>
      <c r="H15" s="151"/>
      <c r="I15" s="153"/>
    </row>
    <row r="16" ht="34.5" customHeight="1">
      <c r="B16" s="305">
        <v>5.0</v>
      </c>
      <c r="C16" s="308" t="s">
        <v>1226</v>
      </c>
      <c r="D16" s="309"/>
      <c r="F16" s="152" t="s">
        <v>169</v>
      </c>
      <c r="G16" s="151"/>
      <c r="H16" s="151"/>
      <c r="I16" s="153"/>
    </row>
    <row r="17" ht="33.75" customHeight="1">
      <c r="B17" s="305">
        <v>6.0</v>
      </c>
      <c r="C17" s="308" t="s">
        <v>1403</v>
      </c>
      <c r="D17" s="309"/>
      <c r="F17" s="152" t="s">
        <v>169</v>
      </c>
      <c r="G17" s="151"/>
      <c r="H17" s="151"/>
      <c r="I17" s="153"/>
    </row>
    <row r="18" ht="34.5" customHeight="1">
      <c r="B18" s="305">
        <v>7.0</v>
      </c>
      <c r="C18" s="306" t="s">
        <v>1404</v>
      </c>
      <c r="D18" s="307"/>
      <c r="F18" s="152" t="s">
        <v>169</v>
      </c>
      <c r="G18" s="160"/>
      <c r="H18" s="160"/>
      <c r="I18" s="161"/>
    </row>
    <row r="19" ht="36.75" customHeight="1">
      <c r="B19" s="305">
        <v>8.0</v>
      </c>
      <c r="C19" s="317" t="s">
        <v>1405</v>
      </c>
      <c r="D19" s="318"/>
      <c r="F19" s="152" t="s">
        <v>169</v>
      </c>
      <c r="G19" s="151"/>
      <c r="H19" s="151"/>
      <c r="I19" s="153"/>
    </row>
    <row r="20" ht="41.25" customHeight="1">
      <c r="B20" s="305">
        <v>9.0</v>
      </c>
      <c r="C20" s="319" t="s">
        <v>1406</v>
      </c>
      <c r="D20" s="307"/>
      <c r="F20" s="152" t="s">
        <v>169</v>
      </c>
      <c r="G20" s="151"/>
      <c r="H20" s="151"/>
      <c r="I20" s="153"/>
    </row>
    <row r="21" ht="34.5" customHeight="1">
      <c r="B21" s="305">
        <v>10.0</v>
      </c>
      <c r="C21" s="306" t="s">
        <v>1407</v>
      </c>
      <c r="D21" s="307"/>
      <c r="F21" s="152" t="s">
        <v>169</v>
      </c>
      <c r="G21" s="151"/>
      <c r="H21" s="151"/>
      <c r="I21" s="153"/>
    </row>
    <row r="22" ht="34.5" customHeight="1">
      <c r="B22" s="305">
        <v>11.0</v>
      </c>
      <c r="C22" s="306" t="s">
        <v>1234</v>
      </c>
      <c r="D22" s="307"/>
      <c r="F22" s="152" t="s">
        <v>169</v>
      </c>
      <c r="G22" s="160"/>
      <c r="H22" s="160"/>
      <c r="I22" s="161"/>
    </row>
    <row r="23" ht="36.75" customHeight="1">
      <c r="B23" s="305">
        <v>12.0</v>
      </c>
      <c r="C23" s="306" t="s">
        <v>1408</v>
      </c>
      <c r="D23" s="307"/>
      <c r="F23" s="152" t="s">
        <v>169</v>
      </c>
      <c r="G23" s="31"/>
      <c r="H23" s="31"/>
      <c r="I23" s="31"/>
    </row>
    <row r="24" ht="36.0" customHeight="1">
      <c r="B24" s="305">
        <v>13.0</v>
      </c>
      <c r="C24" s="306" t="s">
        <v>1409</v>
      </c>
      <c r="D24" s="307"/>
      <c r="F24" s="152" t="s">
        <v>169</v>
      </c>
      <c r="G24" s="31"/>
      <c r="H24" s="31"/>
      <c r="I24" s="31"/>
    </row>
    <row r="25" ht="35.25" customHeight="1">
      <c r="B25" s="305">
        <v>14.0</v>
      </c>
      <c r="C25" s="306" t="s">
        <v>1410</v>
      </c>
      <c r="D25" s="307"/>
      <c r="F25" s="152" t="s">
        <v>169</v>
      </c>
      <c r="G25" s="31"/>
      <c r="H25" s="31"/>
      <c r="I25" s="31"/>
    </row>
    <row r="26" ht="36.75" customHeight="1">
      <c r="B26" s="305">
        <v>15.0</v>
      </c>
      <c r="C26" s="306" t="s">
        <v>1411</v>
      </c>
      <c r="D26" s="307"/>
      <c r="F26" s="152" t="s">
        <v>169</v>
      </c>
      <c r="G26" s="31"/>
      <c r="H26" s="31"/>
      <c r="I26" s="31"/>
    </row>
    <row r="27" ht="32.25" customHeight="1">
      <c r="B27" s="305">
        <v>16.0</v>
      </c>
      <c r="C27" s="306" t="s">
        <v>1412</v>
      </c>
      <c r="D27" s="307"/>
      <c r="F27" s="152" t="s">
        <v>169</v>
      </c>
      <c r="G27" s="31"/>
      <c r="H27" s="31"/>
      <c r="I27" s="31"/>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23:D23"/>
    <mergeCell ref="C24:D24"/>
    <mergeCell ref="C25:D25"/>
    <mergeCell ref="C26:D26"/>
    <mergeCell ref="C27:D27"/>
    <mergeCell ref="C16:D16"/>
    <mergeCell ref="C17:D17"/>
    <mergeCell ref="C18:D18"/>
    <mergeCell ref="C19:D19"/>
    <mergeCell ref="C20:D20"/>
    <mergeCell ref="C21:D21"/>
    <mergeCell ref="C22:D22"/>
  </mergeCells>
  <printOptions/>
  <pageMargins bottom="0.75" footer="0.0" header="0.0" left="0.7" right="0.7" top="0.75"/>
  <pageSetup orientation="landscape"/>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57"/>
    <col customWidth="1" min="12" max="26" width="11.43"/>
  </cols>
  <sheetData>
    <row r="2" ht="21.75" customHeight="1">
      <c r="B2" s="26" t="s">
        <v>124</v>
      </c>
      <c r="C2" s="27"/>
      <c r="D2" s="27"/>
      <c r="E2" s="27"/>
      <c r="F2" s="27"/>
      <c r="G2" s="27"/>
      <c r="H2" s="27"/>
      <c r="I2" s="27"/>
      <c r="K2" s="299" t="s">
        <v>125</v>
      </c>
      <c r="L2" s="29"/>
    </row>
    <row r="3" ht="15.0" customHeight="1">
      <c r="K3" s="31" t="s">
        <v>126</v>
      </c>
      <c r="L3" s="32">
        <f>COUNT(B12:D80)</f>
        <v>13</v>
      </c>
    </row>
    <row r="4">
      <c r="B4" s="33" t="s">
        <v>127</v>
      </c>
      <c r="C4" s="34" t="s">
        <v>128</v>
      </c>
      <c r="E4" s="34"/>
      <c r="K4" s="31" t="s">
        <v>129</v>
      </c>
      <c r="L4" s="32">
        <f>COUNTIF(F12:F80,"X")</f>
        <v>13</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00" t="s">
        <v>1413</v>
      </c>
      <c r="C10" s="301"/>
      <c r="D10" s="301"/>
      <c r="E10" s="302"/>
      <c r="F10" s="44" t="s">
        <v>127</v>
      </c>
      <c r="G10" s="45" t="s">
        <v>130</v>
      </c>
      <c r="H10" s="45" t="s">
        <v>132</v>
      </c>
      <c r="I10" s="46"/>
      <c r="J10" s="67"/>
    </row>
    <row r="11" ht="11.25" customHeight="1">
      <c r="C11" s="303"/>
      <c r="D11" s="304"/>
    </row>
    <row r="12" ht="40.5" customHeight="1">
      <c r="B12" s="305">
        <v>1.0</v>
      </c>
      <c r="C12" s="308" t="s">
        <v>1414</v>
      </c>
      <c r="D12" s="309"/>
      <c r="E12" s="54"/>
      <c r="F12" s="152" t="s">
        <v>169</v>
      </c>
      <c r="G12" s="151"/>
      <c r="H12" s="151"/>
      <c r="I12" s="153"/>
    </row>
    <row r="13" ht="36.75" customHeight="1">
      <c r="B13" s="310">
        <v>2.0</v>
      </c>
      <c r="C13" s="311" t="s">
        <v>1415</v>
      </c>
      <c r="D13" s="309"/>
      <c r="E13" s="54"/>
      <c r="F13" s="152" t="s">
        <v>169</v>
      </c>
      <c r="G13" s="151"/>
      <c r="H13" s="151"/>
      <c r="I13" s="153"/>
    </row>
    <row r="14" ht="35.25" customHeight="1">
      <c r="B14" s="312">
        <v>3.0</v>
      </c>
      <c r="C14" s="308" t="s">
        <v>1416</v>
      </c>
      <c r="D14" s="309"/>
      <c r="F14" s="152" t="s">
        <v>169</v>
      </c>
      <c r="G14" s="151"/>
      <c r="H14" s="151"/>
      <c r="I14" s="153"/>
    </row>
    <row r="15" ht="34.5" customHeight="1">
      <c r="B15" s="305">
        <v>4.0</v>
      </c>
      <c r="C15" s="308" t="s">
        <v>1417</v>
      </c>
      <c r="D15" s="309"/>
      <c r="F15" s="152" t="s">
        <v>169</v>
      </c>
      <c r="G15" s="151"/>
      <c r="H15" s="151"/>
      <c r="I15" s="153"/>
    </row>
    <row r="16" ht="33.75" customHeight="1">
      <c r="B16" s="305">
        <v>5.0</v>
      </c>
      <c r="C16" s="308" t="s">
        <v>1418</v>
      </c>
      <c r="D16" s="309"/>
      <c r="F16" s="152" t="s">
        <v>169</v>
      </c>
      <c r="G16" s="151"/>
      <c r="H16" s="151"/>
      <c r="I16" s="153"/>
    </row>
    <row r="17" ht="34.5" customHeight="1">
      <c r="B17" s="305">
        <v>6.0</v>
      </c>
      <c r="C17" s="306" t="s">
        <v>1419</v>
      </c>
      <c r="D17" s="307"/>
      <c r="F17" s="152" t="s">
        <v>169</v>
      </c>
      <c r="G17" s="160"/>
      <c r="H17" s="160"/>
      <c r="I17" s="161"/>
    </row>
    <row r="18" ht="36.75" customHeight="1">
      <c r="B18" s="305">
        <v>7.0</v>
      </c>
      <c r="C18" s="317" t="s">
        <v>1420</v>
      </c>
      <c r="D18" s="318"/>
      <c r="F18" s="152" t="s">
        <v>169</v>
      </c>
      <c r="G18" s="151"/>
      <c r="H18" s="151"/>
      <c r="I18" s="153"/>
    </row>
    <row r="19" ht="41.25" customHeight="1">
      <c r="B19" s="305">
        <v>8.0</v>
      </c>
      <c r="C19" s="319" t="s">
        <v>1421</v>
      </c>
      <c r="D19" s="307"/>
      <c r="F19" s="152" t="s">
        <v>169</v>
      </c>
      <c r="G19" s="151"/>
      <c r="H19" s="151"/>
      <c r="I19" s="153"/>
    </row>
    <row r="20" ht="34.5" customHeight="1">
      <c r="B20" s="305">
        <v>9.0</v>
      </c>
      <c r="C20" s="306" t="s">
        <v>1422</v>
      </c>
      <c r="D20" s="307"/>
      <c r="F20" s="152" t="s">
        <v>169</v>
      </c>
      <c r="G20" s="151"/>
      <c r="H20" s="151"/>
      <c r="I20" s="153"/>
    </row>
    <row r="21" ht="34.5" customHeight="1">
      <c r="B21" s="305">
        <v>10.0</v>
      </c>
      <c r="C21" s="306" t="s">
        <v>1423</v>
      </c>
      <c r="D21" s="307"/>
      <c r="F21" s="152" t="s">
        <v>169</v>
      </c>
      <c r="G21" s="160"/>
      <c r="H21" s="160"/>
      <c r="I21" s="161"/>
    </row>
    <row r="22" ht="36.75" customHeight="1">
      <c r="B22" s="305">
        <v>11.0</v>
      </c>
      <c r="C22" s="306" t="s">
        <v>1424</v>
      </c>
      <c r="D22" s="307"/>
      <c r="F22" s="152" t="s">
        <v>169</v>
      </c>
      <c r="G22" s="31"/>
      <c r="H22" s="31"/>
      <c r="I22" s="31"/>
    </row>
    <row r="23" ht="36.0" customHeight="1">
      <c r="B23" s="305">
        <v>12.0</v>
      </c>
      <c r="C23" s="306" t="s">
        <v>1425</v>
      </c>
      <c r="D23" s="307"/>
      <c r="F23" s="152" t="s">
        <v>169</v>
      </c>
      <c r="G23" s="31"/>
      <c r="H23" s="31"/>
      <c r="I23" s="31"/>
    </row>
    <row r="24" ht="35.25" customHeight="1">
      <c r="B24" s="305">
        <v>13.0</v>
      </c>
      <c r="C24" s="306" t="s">
        <v>1426</v>
      </c>
      <c r="D24" s="307"/>
      <c r="F24" s="152" t="s">
        <v>169</v>
      </c>
      <c r="G24" s="31"/>
      <c r="H24" s="31"/>
      <c r="I24" s="31"/>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23">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23:D23"/>
    <mergeCell ref="C24:D24"/>
    <mergeCell ref="C16:D16"/>
    <mergeCell ref="C17:D17"/>
    <mergeCell ref="C18:D18"/>
    <mergeCell ref="C19:D19"/>
    <mergeCell ref="C20:D20"/>
    <mergeCell ref="C21:D21"/>
    <mergeCell ref="C22:D22"/>
  </mergeCells>
  <printOptions/>
  <pageMargins bottom="0.75" footer="0.0" header="0.0" left="0.7" right="0.7" top="0.75"/>
  <pageSetup orientation="landscape"/>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57"/>
    <col customWidth="1" min="12" max="26" width="11.43"/>
  </cols>
  <sheetData>
    <row r="2" ht="21.75" customHeight="1">
      <c r="B2" s="26" t="s">
        <v>124</v>
      </c>
      <c r="C2" s="27"/>
      <c r="D2" s="27"/>
      <c r="E2" s="27"/>
      <c r="F2" s="27"/>
      <c r="G2" s="27"/>
      <c r="H2" s="27"/>
      <c r="I2" s="27"/>
      <c r="K2" s="299" t="s">
        <v>125</v>
      </c>
      <c r="L2" s="29"/>
    </row>
    <row r="3" ht="15.0" customHeight="1">
      <c r="K3" s="31" t="s">
        <v>126</v>
      </c>
      <c r="L3" s="32">
        <f>COUNT(B12:D93)</f>
        <v>16</v>
      </c>
    </row>
    <row r="4">
      <c r="B4" s="33" t="s">
        <v>127</v>
      </c>
      <c r="C4" s="34" t="s">
        <v>128</v>
      </c>
      <c r="E4" s="34"/>
      <c r="K4" s="31" t="s">
        <v>129</v>
      </c>
      <c r="L4" s="32">
        <f>COUNTIF(F12:F93,"X")</f>
        <v>16</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00" t="s">
        <v>1427</v>
      </c>
      <c r="C10" s="301"/>
      <c r="D10" s="301"/>
      <c r="E10" s="302"/>
      <c r="F10" s="44" t="s">
        <v>127</v>
      </c>
      <c r="G10" s="45" t="s">
        <v>130</v>
      </c>
      <c r="H10" s="45" t="s">
        <v>132</v>
      </c>
      <c r="I10" s="46"/>
      <c r="J10" s="67"/>
    </row>
    <row r="11" ht="11.25" customHeight="1">
      <c r="C11" s="303"/>
      <c r="D11" s="304"/>
    </row>
    <row r="12" ht="36.0" customHeight="1">
      <c r="B12" s="305">
        <v>1.0</v>
      </c>
      <c r="C12" s="306" t="s">
        <v>1399</v>
      </c>
      <c r="D12" s="307"/>
      <c r="E12" s="54"/>
      <c r="F12" s="152" t="s">
        <v>169</v>
      </c>
      <c r="G12" s="151"/>
      <c r="H12" s="151"/>
      <c r="I12" s="153"/>
    </row>
    <row r="13" ht="40.5" customHeight="1">
      <c r="B13" s="305">
        <v>1.0</v>
      </c>
      <c r="C13" s="308" t="s">
        <v>1428</v>
      </c>
      <c r="D13" s="309"/>
      <c r="E13" s="54"/>
      <c r="F13" s="152" t="s">
        <v>169</v>
      </c>
      <c r="G13" s="151"/>
      <c r="H13" s="151"/>
      <c r="I13" s="153"/>
    </row>
    <row r="14" ht="36.75" customHeight="1">
      <c r="B14" s="310">
        <v>2.0</v>
      </c>
      <c r="C14" s="311" t="s">
        <v>1429</v>
      </c>
      <c r="D14" s="309"/>
      <c r="E14" s="54"/>
      <c r="F14" s="152" t="s">
        <v>169</v>
      </c>
      <c r="G14" s="151"/>
      <c r="H14" s="151"/>
      <c r="I14" s="153"/>
    </row>
    <row r="15" ht="35.25" customHeight="1">
      <c r="B15" s="312">
        <v>3.0</v>
      </c>
      <c r="C15" s="308" t="s">
        <v>1430</v>
      </c>
      <c r="D15" s="309"/>
      <c r="F15" s="152" t="s">
        <v>169</v>
      </c>
      <c r="G15" s="151"/>
      <c r="H15" s="151"/>
      <c r="I15" s="153"/>
    </row>
    <row r="16" ht="34.5" customHeight="1">
      <c r="B16" s="305">
        <v>4.0</v>
      </c>
      <c r="C16" s="308" t="s">
        <v>1431</v>
      </c>
      <c r="D16" s="309"/>
      <c r="F16" s="152" t="s">
        <v>169</v>
      </c>
      <c r="G16" s="151"/>
      <c r="H16" s="151"/>
      <c r="I16" s="153"/>
    </row>
    <row r="17" ht="33.75" customHeight="1">
      <c r="B17" s="305">
        <v>5.0</v>
      </c>
      <c r="C17" s="308" t="s">
        <v>1432</v>
      </c>
      <c r="D17" s="309"/>
      <c r="F17" s="152" t="s">
        <v>169</v>
      </c>
      <c r="G17" s="151"/>
      <c r="H17" s="151"/>
      <c r="I17" s="153"/>
    </row>
    <row r="18" ht="34.5" customHeight="1">
      <c r="B18" s="305">
        <v>6.0</v>
      </c>
      <c r="C18" s="306" t="s">
        <v>1433</v>
      </c>
      <c r="D18" s="307"/>
      <c r="F18" s="152" t="s">
        <v>169</v>
      </c>
      <c r="G18" s="160"/>
      <c r="H18" s="160"/>
      <c r="I18" s="161"/>
    </row>
    <row r="19" ht="36.75" customHeight="1">
      <c r="B19" s="305">
        <v>7.0</v>
      </c>
      <c r="C19" s="317" t="s">
        <v>1434</v>
      </c>
      <c r="D19" s="318"/>
      <c r="F19" s="152" t="s">
        <v>169</v>
      </c>
      <c r="G19" s="151"/>
      <c r="H19" s="151"/>
      <c r="I19" s="153"/>
    </row>
    <row r="20" ht="41.25" customHeight="1">
      <c r="B20" s="305">
        <v>8.0</v>
      </c>
      <c r="C20" s="319" t="s">
        <v>1435</v>
      </c>
      <c r="D20" s="307"/>
      <c r="F20" s="152" t="s">
        <v>169</v>
      </c>
      <c r="G20" s="151"/>
      <c r="H20" s="151"/>
      <c r="I20" s="153"/>
    </row>
    <row r="21" ht="34.5" customHeight="1">
      <c r="B21" s="305">
        <v>9.0</v>
      </c>
      <c r="C21" s="306" t="s">
        <v>1436</v>
      </c>
      <c r="D21" s="307"/>
      <c r="F21" s="152" t="s">
        <v>169</v>
      </c>
      <c r="G21" s="151"/>
      <c r="H21" s="151"/>
      <c r="I21" s="153"/>
    </row>
    <row r="22" ht="34.5" customHeight="1">
      <c r="B22" s="305">
        <v>10.0</v>
      </c>
      <c r="C22" s="306" t="s">
        <v>1437</v>
      </c>
      <c r="D22" s="307"/>
      <c r="F22" s="152" t="s">
        <v>169</v>
      </c>
      <c r="G22" s="160"/>
      <c r="H22" s="160"/>
      <c r="I22" s="161"/>
    </row>
    <row r="23" ht="36.75" customHeight="1">
      <c r="B23" s="305">
        <v>11.0</v>
      </c>
      <c r="C23" s="306" t="s">
        <v>1438</v>
      </c>
      <c r="D23" s="307"/>
      <c r="F23" s="152" t="s">
        <v>169</v>
      </c>
      <c r="G23" s="31"/>
      <c r="H23" s="31"/>
      <c r="I23" s="31"/>
    </row>
    <row r="24" ht="36.0" customHeight="1">
      <c r="B24" s="305">
        <v>12.0</v>
      </c>
      <c r="C24" s="306" t="s">
        <v>1439</v>
      </c>
      <c r="D24" s="307"/>
      <c r="F24" s="152" t="s">
        <v>169</v>
      </c>
      <c r="G24" s="31"/>
      <c r="H24" s="31"/>
      <c r="I24" s="31"/>
    </row>
    <row r="25" ht="35.25" customHeight="1">
      <c r="B25" s="305">
        <v>13.0</v>
      </c>
      <c r="C25" s="306" t="s">
        <v>1440</v>
      </c>
      <c r="D25" s="307"/>
      <c r="F25" s="152" t="s">
        <v>169</v>
      </c>
      <c r="G25" s="31"/>
      <c r="H25" s="31"/>
      <c r="I25" s="31"/>
    </row>
    <row r="26" ht="36.75" customHeight="1">
      <c r="B26" s="305">
        <v>14.0</v>
      </c>
      <c r="C26" s="306" t="s">
        <v>1441</v>
      </c>
      <c r="D26" s="307"/>
      <c r="F26" s="152" t="s">
        <v>169</v>
      </c>
      <c r="G26" s="31"/>
      <c r="H26" s="31"/>
      <c r="I26" s="31"/>
    </row>
    <row r="27" ht="32.25" customHeight="1">
      <c r="B27" s="305">
        <v>16.0</v>
      </c>
      <c r="C27" s="306" t="s">
        <v>1412</v>
      </c>
      <c r="D27" s="307"/>
      <c r="F27" s="152" t="s">
        <v>169</v>
      </c>
      <c r="G27" s="31"/>
      <c r="H27" s="31"/>
      <c r="I27" s="31"/>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23:D23"/>
    <mergeCell ref="C24:D24"/>
    <mergeCell ref="C25:D25"/>
    <mergeCell ref="C26:D26"/>
    <mergeCell ref="C27:D27"/>
    <mergeCell ref="C16:D16"/>
    <mergeCell ref="C17:D17"/>
    <mergeCell ref="C18:D18"/>
    <mergeCell ref="C19:D19"/>
    <mergeCell ref="C20:D20"/>
    <mergeCell ref="C21:D21"/>
    <mergeCell ref="C22:D22"/>
  </mergeCells>
  <printOptions/>
  <pageMargins bottom="0.75" footer="0.0" header="0.0" left="0.7" right="0.7" top="0.75"/>
  <pageSetup orientation="landscape"/>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000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57"/>
    <col customWidth="1" min="12" max="26" width="11.43"/>
  </cols>
  <sheetData>
    <row r="2" ht="21.75" customHeight="1">
      <c r="B2" s="26" t="s">
        <v>124</v>
      </c>
      <c r="C2" s="27"/>
      <c r="D2" s="27"/>
      <c r="E2" s="27"/>
      <c r="F2" s="27"/>
      <c r="G2" s="27"/>
      <c r="H2" s="27"/>
      <c r="I2" s="27"/>
      <c r="K2" s="299" t="s">
        <v>125</v>
      </c>
      <c r="L2" s="29"/>
    </row>
    <row r="3" ht="15.0" customHeight="1">
      <c r="K3" s="31" t="s">
        <v>126</v>
      </c>
      <c r="L3" s="32">
        <f>COUNT(B12:D91)</f>
        <v>14</v>
      </c>
    </row>
    <row r="4">
      <c r="B4" s="33" t="s">
        <v>127</v>
      </c>
      <c r="C4" s="34" t="s">
        <v>128</v>
      </c>
      <c r="E4" s="34"/>
      <c r="K4" s="31" t="s">
        <v>129</v>
      </c>
      <c r="L4" s="32">
        <f>COUNTIF(F12:F91,"X")</f>
        <v>14</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00" t="s">
        <v>1442</v>
      </c>
      <c r="C10" s="301"/>
      <c r="D10" s="301"/>
      <c r="E10" s="302"/>
      <c r="F10" s="44" t="s">
        <v>127</v>
      </c>
      <c r="G10" s="45" t="s">
        <v>130</v>
      </c>
      <c r="H10" s="45" t="s">
        <v>132</v>
      </c>
      <c r="I10" s="46"/>
      <c r="J10" s="67"/>
    </row>
    <row r="11" ht="11.25" customHeight="1">
      <c r="C11" s="303"/>
      <c r="D11" s="304"/>
    </row>
    <row r="12" ht="40.5" customHeight="1">
      <c r="B12" s="305">
        <v>1.0</v>
      </c>
      <c r="C12" s="306" t="s">
        <v>1443</v>
      </c>
      <c r="D12" s="307"/>
      <c r="E12" s="54"/>
      <c r="F12" s="152" t="s">
        <v>169</v>
      </c>
      <c r="G12" s="151"/>
      <c r="H12" s="151"/>
      <c r="I12" s="153"/>
    </row>
    <row r="13" ht="36.75" customHeight="1">
      <c r="B13" s="310">
        <v>2.0</v>
      </c>
      <c r="C13" s="306" t="s">
        <v>1444</v>
      </c>
      <c r="D13" s="307"/>
      <c r="E13" s="54"/>
      <c r="F13" s="152" t="s">
        <v>169</v>
      </c>
      <c r="G13" s="151"/>
      <c r="H13" s="151"/>
      <c r="I13" s="153"/>
    </row>
    <row r="14" ht="35.25" customHeight="1">
      <c r="B14" s="312">
        <v>3.0</v>
      </c>
      <c r="C14" s="306" t="s">
        <v>1445</v>
      </c>
      <c r="D14" s="307"/>
      <c r="F14" s="152" t="s">
        <v>169</v>
      </c>
      <c r="G14" s="151"/>
      <c r="H14" s="151"/>
      <c r="I14" s="153"/>
    </row>
    <row r="15" ht="34.5" customHeight="1">
      <c r="B15" s="305">
        <v>4.0</v>
      </c>
      <c r="C15" s="306" t="s">
        <v>1446</v>
      </c>
      <c r="D15" s="307"/>
      <c r="F15" s="152" t="s">
        <v>169</v>
      </c>
      <c r="G15" s="151"/>
      <c r="H15" s="151"/>
      <c r="I15" s="153"/>
    </row>
    <row r="16" ht="33.75" customHeight="1">
      <c r="B16" s="305">
        <v>5.0</v>
      </c>
      <c r="C16" s="306" t="s">
        <v>1447</v>
      </c>
      <c r="D16" s="307"/>
      <c r="F16" s="152" t="s">
        <v>169</v>
      </c>
      <c r="G16" s="151"/>
      <c r="H16" s="151"/>
      <c r="I16" s="153"/>
    </row>
    <row r="17" ht="34.5" customHeight="1">
      <c r="B17" s="305">
        <v>6.0</v>
      </c>
      <c r="C17" s="306" t="s">
        <v>1448</v>
      </c>
      <c r="D17" s="307"/>
      <c r="F17" s="152" t="s">
        <v>169</v>
      </c>
      <c r="G17" s="160"/>
      <c r="H17" s="160"/>
      <c r="I17" s="161"/>
    </row>
    <row r="18" ht="36.75" customHeight="1">
      <c r="B18" s="305">
        <v>7.0</v>
      </c>
      <c r="C18" s="306" t="s">
        <v>1449</v>
      </c>
      <c r="D18" s="307"/>
      <c r="F18" s="152" t="s">
        <v>169</v>
      </c>
      <c r="G18" s="151"/>
      <c r="H18" s="151"/>
      <c r="I18" s="153"/>
    </row>
    <row r="19" ht="41.25" customHeight="1">
      <c r="B19" s="305">
        <v>8.0</v>
      </c>
      <c r="C19" s="306" t="s">
        <v>1450</v>
      </c>
      <c r="D19" s="307"/>
      <c r="F19" s="152" t="s">
        <v>169</v>
      </c>
      <c r="G19" s="151"/>
      <c r="H19" s="151"/>
      <c r="I19" s="153"/>
    </row>
    <row r="20" ht="34.5" customHeight="1">
      <c r="B20" s="305">
        <v>9.0</v>
      </c>
      <c r="C20" s="306" t="s">
        <v>1451</v>
      </c>
      <c r="D20" s="307"/>
      <c r="F20" s="152" t="s">
        <v>169</v>
      </c>
      <c r="G20" s="151"/>
      <c r="H20" s="151"/>
      <c r="I20" s="153"/>
    </row>
    <row r="21" ht="34.5" customHeight="1">
      <c r="B21" s="305">
        <v>10.0</v>
      </c>
      <c r="C21" s="306" t="s">
        <v>1452</v>
      </c>
      <c r="D21" s="307"/>
      <c r="F21" s="152" t="s">
        <v>169</v>
      </c>
      <c r="G21" s="160"/>
      <c r="H21" s="160"/>
      <c r="I21" s="161"/>
    </row>
    <row r="22" ht="36.75" customHeight="1">
      <c r="B22" s="305">
        <v>11.0</v>
      </c>
      <c r="C22" s="306" t="s">
        <v>1453</v>
      </c>
      <c r="D22" s="307"/>
      <c r="F22" s="152" t="s">
        <v>169</v>
      </c>
      <c r="G22" s="31"/>
      <c r="H22" s="31"/>
      <c r="I22" s="31"/>
    </row>
    <row r="23" ht="36.0" customHeight="1">
      <c r="B23" s="305">
        <v>12.0</v>
      </c>
      <c r="C23" s="306" t="s">
        <v>1454</v>
      </c>
      <c r="D23" s="307"/>
      <c r="F23" s="152" t="s">
        <v>169</v>
      </c>
      <c r="G23" s="31"/>
      <c r="H23" s="31"/>
      <c r="I23" s="31"/>
    </row>
    <row r="24" ht="35.25" customHeight="1">
      <c r="B24" s="305">
        <v>13.0</v>
      </c>
      <c r="C24" s="306" t="s">
        <v>1455</v>
      </c>
      <c r="D24" s="307"/>
      <c r="F24" s="152" t="s">
        <v>169</v>
      </c>
      <c r="G24" s="31"/>
      <c r="H24" s="31"/>
      <c r="I24" s="31"/>
    </row>
    <row r="25" ht="36.75" customHeight="1">
      <c r="B25" s="305">
        <v>14.0</v>
      </c>
      <c r="C25" s="306" t="s">
        <v>1456</v>
      </c>
      <c r="D25" s="307"/>
      <c r="F25" s="152" t="s">
        <v>169</v>
      </c>
      <c r="G25" s="31"/>
      <c r="H25" s="31"/>
      <c r="I25" s="31"/>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23:D23"/>
    <mergeCell ref="C24:D24"/>
    <mergeCell ref="C25:D25"/>
    <mergeCell ref="C16:D16"/>
    <mergeCell ref="C17:D17"/>
    <mergeCell ref="C18:D18"/>
    <mergeCell ref="C19:D19"/>
    <mergeCell ref="C20:D20"/>
    <mergeCell ref="C21:D21"/>
    <mergeCell ref="C22:D22"/>
  </mergeCells>
  <printOptions/>
  <pageMargins bottom="0.75" footer="0.0" header="0.0" left="0.7" right="0.7" top="0.75"/>
  <pageSetup orientation="landscape"/>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000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57"/>
    <col customWidth="1" min="12" max="26" width="11.43"/>
  </cols>
  <sheetData>
    <row r="2" ht="21.75" customHeight="1">
      <c r="B2" s="26" t="s">
        <v>124</v>
      </c>
      <c r="C2" s="27"/>
      <c r="D2" s="27"/>
      <c r="E2" s="27"/>
      <c r="F2" s="27"/>
      <c r="G2" s="27"/>
      <c r="H2" s="27"/>
      <c r="I2" s="27"/>
      <c r="K2" s="299" t="s">
        <v>125</v>
      </c>
      <c r="L2" s="29"/>
    </row>
    <row r="3" ht="15.0" customHeight="1">
      <c r="K3" s="31" t="s">
        <v>126</v>
      </c>
      <c r="L3" s="32">
        <f>COUNT(B12:D91)</f>
        <v>14</v>
      </c>
    </row>
    <row r="4">
      <c r="B4" s="33" t="s">
        <v>127</v>
      </c>
      <c r="C4" s="34" t="s">
        <v>128</v>
      </c>
      <c r="E4" s="34"/>
      <c r="K4" s="31" t="s">
        <v>129</v>
      </c>
      <c r="L4" s="32">
        <f>COUNTIF(F12:F91,"X")</f>
        <v>14</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00" t="s">
        <v>1457</v>
      </c>
      <c r="C10" s="301"/>
      <c r="D10" s="301"/>
      <c r="E10" s="302"/>
      <c r="F10" s="44" t="s">
        <v>127</v>
      </c>
      <c r="G10" s="45" t="s">
        <v>130</v>
      </c>
      <c r="H10" s="45" t="s">
        <v>132</v>
      </c>
      <c r="I10" s="46"/>
      <c r="J10" s="67"/>
    </row>
    <row r="11" ht="11.25" customHeight="1">
      <c r="C11" s="303"/>
      <c r="D11" s="304"/>
    </row>
    <row r="12" ht="40.5" customHeight="1">
      <c r="B12" s="305">
        <v>1.0</v>
      </c>
      <c r="C12" s="306" t="s">
        <v>1458</v>
      </c>
      <c r="D12" s="307"/>
      <c r="E12" s="54"/>
      <c r="F12" s="152" t="s">
        <v>169</v>
      </c>
      <c r="G12" s="151"/>
      <c r="H12" s="151"/>
      <c r="I12" s="153"/>
    </row>
    <row r="13" ht="36.75" customHeight="1">
      <c r="B13" s="310">
        <v>2.0</v>
      </c>
      <c r="C13" s="306" t="s">
        <v>1459</v>
      </c>
      <c r="D13" s="307"/>
      <c r="E13" s="54"/>
      <c r="F13" s="152" t="s">
        <v>169</v>
      </c>
      <c r="G13" s="151"/>
      <c r="H13" s="151"/>
      <c r="I13" s="153"/>
    </row>
    <row r="14" ht="35.25" customHeight="1">
      <c r="B14" s="312">
        <v>3.0</v>
      </c>
      <c r="C14" s="306" t="s">
        <v>1460</v>
      </c>
      <c r="D14" s="307"/>
      <c r="F14" s="152" t="s">
        <v>169</v>
      </c>
      <c r="G14" s="151"/>
      <c r="H14" s="151"/>
      <c r="I14" s="153"/>
    </row>
    <row r="15" ht="34.5" customHeight="1">
      <c r="B15" s="305">
        <v>4.0</v>
      </c>
      <c r="C15" s="306" t="s">
        <v>1461</v>
      </c>
      <c r="D15" s="307"/>
      <c r="F15" s="152" t="s">
        <v>169</v>
      </c>
      <c r="G15" s="151"/>
      <c r="H15" s="151"/>
      <c r="I15" s="153"/>
    </row>
    <row r="16" ht="33.75" customHeight="1">
      <c r="B16" s="305">
        <v>5.0</v>
      </c>
      <c r="C16" s="306" t="s">
        <v>1462</v>
      </c>
      <c r="D16" s="307"/>
      <c r="F16" s="152" t="s">
        <v>169</v>
      </c>
      <c r="G16" s="151"/>
      <c r="H16" s="151"/>
      <c r="I16" s="153"/>
    </row>
    <row r="17" ht="34.5" customHeight="1">
      <c r="B17" s="305">
        <v>6.0</v>
      </c>
      <c r="C17" s="306" t="s">
        <v>1463</v>
      </c>
      <c r="D17" s="307"/>
      <c r="F17" s="152" t="s">
        <v>169</v>
      </c>
      <c r="G17" s="160"/>
      <c r="H17" s="160"/>
      <c r="I17" s="161"/>
    </row>
    <row r="18" ht="36.75" customHeight="1">
      <c r="B18" s="305">
        <v>7.0</v>
      </c>
      <c r="C18" s="306" t="s">
        <v>1464</v>
      </c>
      <c r="D18" s="307"/>
      <c r="F18" s="152" t="s">
        <v>169</v>
      </c>
      <c r="G18" s="151"/>
      <c r="H18" s="151"/>
      <c r="I18" s="153"/>
    </row>
    <row r="19" ht="41.25" customHeight="1">
      <c r="B19" s="305">
        <v>8.0</v>
      </c>
      <c r="C19" s="306" t="s">
        <v>1465</v>
      </c>
      <c r="D19" s="307"/>
      <c r="F19" s="152" t="s">
        <v>169</v>
      </c>
      <c r="G19" s="151"/>
      <c r="H19" s="151"/>
      <c r="I19" s="153"/>
    </row>
    <row r="20" ht="34.5" customHeight="1">
      <c r="B20" s="305">
        <v>9.0</v>
      </c>
      <c r="C20" s="306" t="s">
        <v>1466</v>
      </c>
      <c r="D20" s="307"/>
      <c r="F20" s="152" t="s">
        <v>169</v>
      </c>
      <c r="G20" s="151"/>
      <c r="H20" s="151"/>
      <c r="I20" s="153"/>
    </row>
    <row r="21" ht="34.5" customHeight="1">
      <c r="B21" s="305">
        <v>10.0</v>
      </c>
      <c r="C21" s="306" t="s">
        <v>1467</v>
      </c>
      <c r="D21" s="307"/>
      <c r="F21" s="152" t="s">
        <v>169</v>
      </c>
      <c r="G21" s="160"/>
      <c r="H21" s="160"/>
      <c r="I21" s="161"/>
    </row>
    <row r="22" ht="36.75" customHeight="1">
      <c r="B22" s="305">
        <v>11.0</v>
      </c>
      <c r="C22" s="306" t="s">
        <v>1468</v>
      </c>
      <c r="D22" s="307"/>
      <c r="F22" s="152" t="s">
        <v>169</v>
      </c>
      <c r="G22" s="31"/>
      <c r="H22" s="31"/>
      <c r="I22" s="31"/>
    </row>
    <row r="23" ht="36.0" customHeight="1">
      <c r="B23" s="305">
        <v>12.0</v>
      </c>
      <c r="C23" s="306" t="s">
        <v>1469</v>
      </c>
      <c r="D23" s="307"/>
      <c r="F23" s="152" t="s">
        <v>169</v>
      </c>
      <c r="G23" s="31"/>
      <c r="H23" s="31"/>
      <c r="I23" s="31"/>
    </row>
    <row r="24" ht="35.25" customHeight="1">
      <c r="B24" s="305">
        <v>13.0</v>
      </c>
      <c r="C24" s="306" t="s">
        <v>1470</v>
      </c>
      <c r="D24" s="307"/>
      <c r="F24" s="152" t="s">
        <v>169</v>
      </c>
      <c r="G24" s="31"/>
      <c r="H24" s="31"/>
      <c r="I24" s="31"/>
    </row>
    <row r="25" ht="36.75" customHeight="1">
      <c r="B25" s="305">
        <v>14.0</v>
      </c>
      <c r="C25" s="306" t="s">
        <v>1471</v>
      </c>
      <c r="D25" s="307"/>
      <c r="F25" s="152" t="s">
        <v>169</v>
      </c>
      <c r="G25" s="31"/>
      <c r="H25" s="31"/>
      <c r="I25" s="31"/>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23:D23"/>
    <mergeCell ref="C24:D24"/>
    <mergeCell ref="C25:D25"/>
    <mergeCell ref="C16:D16"/>
    <mergeCell ref="C17:D17"/>
    <mergeCell ref="C18:D18"/>
    <mergeCell ref="C19:D19"/>
    <mergeCell ref="C20:D20"/>
    <mergeCell ref="C21:D21"/>
    <mergeCell ref="C22:D22"/>
  </mergeCells>
  <printOptions/>
  <pageMargins bottom="0.75" footer="0.0" header="0.0" left="0.7" right="0.7" top="0.75"/>
  <pageSetup orientation="landscape"/>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57"/>
    <col customWidth="1" min="12" max="26" width="11.43"/>
  </cols>
  <sheetData>
    <row r="2" ht="21.75" customHeight="1">
      <c r="B2" s="26" t="s">
        <v>124</v>
      </c>
      <c r="C2" s="27"/>
      <c r="D2" s="27"/>
      <c r="E2" s="27"/>
      <c r="F2" s="27"/>
      <c r="G2" s="27"/>
      <c r="H2" s="27"/>
      <c r="I2" s="27"/>
      <c r="K2" s="299" t="s">
        <v>125</v>
      </c>
      <c r="L2" s="29"/>
    </row>
    <row r="3" ht="15.0" customHeight="1">
      <c r="K3" s="31" t="s">
        <v>126</v>
      </c>
      <c r="L3" s="32">
        <f>COUNT(B12:D84)</f>
        <v>17</v>
      </c>
    </row>
    <row r="4">
      <c r="B4" s="33" t="s">
        <v>127</v>
      </c>
      <c r="C4" s="34" t="s">
        <v>128</v>
      </c>
      <c r="E4" s="34"/>
      <c r="K4" s="31" t="s">
        <v>129</v>
      </c>
      <c r="L4" s="32">
        <f>COUNTIF(F12:F84,"X")</f>
        <v>17</v>
      </c>
    </row>
    <row r="5">
      <c r="B5" s="33" t="s">
        <v>130</v>
      </c>
      <c r="C5" s="34" t="s">
        <v>131</v>
      </c>
      <c r="E5" s="34"/>
      <c r="K5" s="31" t="s">
        <v>134</v>
      </c>
      <c r="L5" s="35" t="str">
        <f>PERCENTOF(L4,L3)</f>
        <v>#NAME?</v>
      </c>
    </row>
    <row r="6">
      <c r="B6" s="33" t="s">
        <v>132</v>
      </c>
      <c r="C6" s="34" t="s">
        <v>133</v>
      </c>
      <c r="E6" s="34"/>
    </row>
    <row r="7">
      <c r="B7" s="66" t="s">
        <v>135</v>
      </c>
      <c r="D7" s="34" t="s">
        <v>136</v>
      </c>
      <c r="E7" s="34"/>
    </row>
    <row r="9">
      <c r="F9" s="37" t="s">
        <v>137</v>
      </c>
      <c r="G9" s="38"/>
      <c r="H9" s="39"/>
      <c r="I9" s="40" t="s">
        <v>250</v>
      </c>
    </row>
    <row r="10" ht="27.0" customHeight="1">
      <c r="B10" s="300" t="s">
        <v>1472</v>
      </c>
      <c r="C10" s="301"/>
      <c r="D10" s="301"/>
      <c r="E10" s="302"/>
      <c r="F10" s="44" t="s">
        <v>127</v>
      </c>
      <c r="G10" s="45" t="s">
        <v>130</v>
      </c>
      <c r="H10" s="45" t="s">
        <v>132</v>
      </c>
      <c r="I10" s="46"/>
      <c r="J10" s="67"/>
    </row>
    <row r="11" ht="11.25" customHeight="1">
      <c r="C11" s="303"/>
      <c r="D11" s="304"/>
    </row>
    <row r="12" ht="40.5" customHeight="1">
      <c r="B12" s="305">
        <v>1.0</v>
      </c>
      <c r="C12" s="362" t="s">
        <v>1473</v>
      </c>
      <c r="D12" s="309"/>
      <c r="E12" s="54"/>
      <c r="F12" s="152" t="s">
        <v>169</v>
      </c>
      <c r="G12" s="151"/>
      <c r="H12" s="151"/>
      <c r="I12" s="153"/>
    </row>
    <row r="13" ht="35.25" customHeight="1">
      <c r="B13" s="312">
        <v>2.0</v>
      </c>
      <c r="C13" s="362" t="s">
        <v>1474</v>
      </c>
      <c r="D13" s="309"/>
      <c r="F13" s="152" t="s">
        <v>169</v>
      </c>
      <c r="G13" s="151"/>
      <c r="H13" s="151"/>
      <c r="I13" s="153"/>
    </row>
    <row r="14" ht="34.5" customHeight="1">
      <c r="B14" s="305">
        <v>3.0</v>
      </c>
      <c r="C14" s="362" t="s">
        <v>1475</v>
      </c>
      <c r="D14" s="309"/>
      <c r="F14" s="152" t="s">
        <v>169</v>
      </c>
      <c r="G14" s="151"/>
      <c r="H14" s="151"/>
      <c r="I14" s="153"/>
    </row>
    <row r="15" ht="34.5" customHeight="1">
      <c r="B15" s="305">
        <v>4.0</v>
      </c>
      <c r="C15" s="363" t="s">
        <v>1476</v>
      </c>
      <c r="D15" s="307"/>
      <c r="F15" s="152" t="s">
        <v>169</v>
      </c>
      <c r="G15" s="160"/>
      <c r="H15" s="160"/>
      <c r="I15" s="161"/>
    </row>
    <row r="16" ht="36.75" customHeight="1">
      <c r="B16" s="305">
        <v>5.0</v>
      </c>
      <c r="C16" s="328" t="s">
        <v>1477</v>
      </c>
      <c r="D16" s="307"/>
      <c r="F16" s="152" t="s">
        <v>169</v>
      </c>
      <c r="G16" s="31"/>
      <c r="H16" s="31"/>
      <c r="I16" s="31"/>
    </row>
    <row r="17" ht="36.0" customHeight="1">
      <c r="B17" s="305">
        <v>6.0</v>
      </c>
      <c r="C17" s="328" t="s">
        <v>1478</v>
      </c>
      <c r="D17" s="307"/>
      <c r="F17" s="152" t="s">
        <v>169</v>
      </c>
      <c r="G17" s="31"/>
      <c r="H17" s="31"/>
      <c r="I17" s="31"/>
    </row>
    <row r="18" ht="35.25" customHeight="1">
      <c r="B18" s="305">
        <v>7.0</v>
      </c>
      <c r="C18" s="328" t="s">
        <v>1479</v>
      </c>
      <c r="D18" s="307"/>
      <c r="F18" s="152" t="s">
        <v>169</v>
      </c>
      <c r="G18" s="31"/>
      <c r="H18" s="31"/>
      <c r="I18" s="31"/>
    </row>
    <row r="19" ht="56.25" customHeight="1">
      <c r="B19" s="364">
        <v>8.0</v>
      </c>
      <c r="C19" s="328" t="s">
        <v>1480</v>
      </c>
      <c r="D19" s="307"/>
      <c r="F19" s="152" t="s">
        <v>169</v>
      </c>
      <c r="G19" s="31"/>
      <c r="H19" s="31"/>
      <c r="I19" s="31"/>
    </row>
    <row r="20" ht="23.25" customHeight="1">
      <c r="B20" s="364">
        <v>9.0</v>
      </c>
      <c r="C20" s="328" t="s">
        <v>1481</v>
      </c>
      <c r="D20" s="307"/>
      <c r="F20" s="152" t="s">
        <v>169</v>
      </c>
      <c r="G20" s="31"/>
      <c r="H20" s="31"/>
      <c r="I20" s="31"/>
    </row>
    <row r="21" ht="21.75" customHeight="1">
      <c r="B21" s="364">
        <v>10.0</v>
      </c>
      <c r="C21" s="328" t="s">
        <v>1482</v>
      </c>
      <c r="D21" s="307"/>
      <c r="F21" s="152" t="s">
        <v>169</v>
      </c>
      <c r="G21" s="31"/>
      <c r="H21" s="31"/>
      <c r="I21" s="31"/>
    </row>
    <row r="22" ht="24.75" customHeight="1">
      <c r="B22" s="364">
        <v>11.0</v>
      </c>
      <c r="C22" s="328" t="s">
        <v>1483</v>
      </c>
      <c r="D22" s="307"/>
      <c r="F22" s="152" t="s">
        <v>169</v>
      </c>
      <c r="G22" s="31"/>
      <c r="H22" s="31"/>
      <c r="I22" s="31"/>
    </row>
    <row r="23" ht="33.0" customHeight="1">
      <c r="B23" s="364">
        <v>12.0</v>
      </c>
      <c r="C23" s="328" t="s">
        <v>1484</v>
      </c>
      <c r="D23" s="307"/>
      <c r="F23" s="152" t="s">
        <v>169</v>
      </c>
      <c r="G23" s="31"/>
      <c r="H23" s="31"/>
      <c r="I23" s="31"/>
    </row>
    <row r="24" ht="23.25" customHeight="1">
      <c r="B24" s="364">
        <v>13.0</v>
      </c>
      <c r="C24" s="328" t="s">
        <v>1485</v>
      </c>
      <c r="D24" s="307"/>
      <c r="F24" s="152" t="s">
        <v>169</v>
      </c>
      <c r="G24" s="31"/>
      <c r="H24" s="31"/>
      <c r="I24" s="31"/>
    </row>
    <row r="25" ht="30.75" customHeight="1">
      <c r="B25" s="364">
        <v>14.0</v>
      </c>
      <c r="C25" s="328" t="s">
        <v>1486</v>
      </c>
      <c r="D25" s="307"/>
      <c r="F25" s="152" t="s">
        <v>169</v>
      </c>
      <c r="G25" s="31"/>
      <c r="H25" s="31"/>
      <c r="I25" s="31"/>
    </row>
    <row r="26" ht="35.25" customHeight="1">
      <c r="B26" s="364">
        <v>15.0</v>
      </c>
      <c r="C26" s="328" t="s">
        <v>1487</v>
      </c>
      <c r="D26" s="307"/>
      <c r="F26" s="152" t="s">
        <v>169</v>
      </c>
      <c r="G26" s="31"/>
      <c r="H26" s="31"/>
      <c r="I26" s="31"/>
    </row>
    <row r="27" ht="36.0" customHeight="1">
      <c r="B27" s="364">
        <v>16.0</v>
      </c>
      <c r="C27" s="328" t="s">
        <v>1488</v>
      </c>
      <c r="D27" s="307"/>
      <c r="F27" s="152" t="s">
        <v>169</v>
      </c>
      <c r="G27" s="31"/>
      <c r="H27" s="31"/>
      <c r="I27" s="31"/>
    </row>
    <row r="28" ht="39.75" customHeight="1">
      <c r="B28" s="364">
        <v>17.0</v>
      </c>
      <c r="C28" s="328" t="s">
        <v>1489</v>
      </c>
      <c r="D28" s="307"/>
      <c r="F28" s="152" t="s">
        <v>169</v>
      </c>
      <c r="G28" s="31"/>
      <c r="H28" s="31"/>
      <c r="I28" s="31"/>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27">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23:D23"/>
    <mergeCell ref="C24:D24"/>
    <mergeCell ref="C25:D25"/>
    <mergeCell ref="C26:D26"/>
    <mergeCell ref="C27:D27"/>
    <mergeCell ref="C28:D28"/>
    <mergeCell ref="C16:D16"/>
    <mergeCell ref="C17:D17"/>
    <mergeCell ref="C18:D18"/>
    <mergeCell ref="C19:D19"/>
    <mergeCell ref="C20:D20"/>
    <mergeCell ref="C21:D21"/>
    <mergeCell ref="C22:D22"/>
  </mergeCells>
  <printOptions/>
  <pageMargins bottom="0.75" footer="0.0" header="0.0" left="0.7" right="0.7" top="0.75"/>
  <pageSetup orientation="landscape"/>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57"/>
    <col customWidth="1" min="12" max="26" width="11.43"/>
  </cols>
  <sheetData>
    <row r="2" ht="21.75" customHeight="1">
      <c r="B2" s="26" t="s">
        <v>124</v>
      </c>
      <c r="C2" s="27"/>
      <c r="D2" s="27"/>
      <c r="E2" s="27"/>
      <c r="F2" s="27"/>
      <c r="G2" s="27"/>
      <c r="H2" s="27"/>
      <c r="I2" s="27"/>
      <c r="K2" s="299" t="s">
        <v>125</v>
      </c>
      <c r="L2" s="29"/>
    </row>
    <row r="3" ht="15.0" customHeight="1">
      <c r="K3" s="31" t="s">
        <v>126</v>
      </c>
      <c r="L3" s="32">
        <f>COUNT(B12:D90)</f>
        <v>13</v>
      </c>
    </row>
    <row r="4">
      <c r="B4" s="33" t="s">
        <v>127</v>
      </c>
      <c r="C4" s="34" t="s">
        <v>128</v>
      </c>
      <c r="E4" s="34"/>
      <c r="K4" s="31" t="s">
        <v>129</v>
      </c>
      <c r="L4" s="32">
        <f>COUNTIF(F12:F90,"X")</f>
        <v>13</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00" t="s">
        <v>1457</v>
      </c>
      <c r="C10" s="301"/>
      <c r="D10" s="301"/>
      <c r="E10" s="302"/>
      <c r="F10" s="44" t="s">
        <v>127</v>
      </c>
      <c r="G10" s="45" t="s">
        <v>130</v>
      </c>
      <c r="H10" s="45" t="s">
        <v>132</v>
      </c>
      <c r="I10" s="46"/>
      <c r="J10" s="67"/>
    </row>
    <row r="11" ht="11.25" customHeight="1">
      <c r="C11" s="303"/>
      <c r="D11" s="304"/>
    </row>
    <row r="12" ht="40.5" customHeight="1">
      <c r="B12" s="305">
        <v>1.0</v>
      </c>
      <c r="C12" s="328" t="s">
        <v>1490</v>
      </c>
      <c r="D12" s="307"/>
      <c r="E12" s="54"/>
      <c r="F12" s="152" t="s">
        <v>169</v>
      </c>
      <c r="G12" s="151"/>
      <c r="H12" s="151"/>
      <c r="I12" s="153"/>
    </row>
    <row r="13" ht="36.75" customHeight="1">
      <c r="B13" s="310">
        <v>2.0</v>
      </c>
      <c r="C13" s="328" t="s">
        <v>1491</v>
      </c>
      <c r="D13" s="307"/>
      <c r="E13" s="54"/>
      <c r="F13" s="152" t="s">
        <v>169</v>
      </c>
      <c r="G13" s="151"/>
      <c r="H13" s="151"/>
      <c r="I13" s="153"/>
    </row>
    <row r="14" ht="35.25" customHeight="1">
      <c r="B14" s="312">
        <v>3.0</v>
      </c>
      <c r="C14" s="328" t="s">
        <v>1492</v>
      </c>
      <c r="D14" s="307"/>
      <c r="F14" s="152" t="s">
        <v>169</v>
      </c>
      <c r="G14" s="151"/>
      <c r="H14" s="151"/>
      <c r="I14" s="153"/>
    </row>
    <row r="15" ht="34.5" customHeight="1">
      <c r="B15" s="305">
        <v>4.0</v>
      </c>
      <c r="C15" s="328" t="s">
        <v>1493</v>
      </c>
      <c r="D15" s="307"/>
      <c r="F15" s="152" t="s">
        <v>169</v>
      </c>
      <c r="G15" s="151"/>
      <c r="H15" s="151"/>
      <c r="I15" s="153"/>
    </row>
    <row r="16" ht="33.75" customHeight="1">
      <c r="B16" s="305">
        <v>5.0</v>
      </c>
      <c r="C16" s="328" t="s">
        <v>1494</v>
      </c>
      <c r="D16" s="307"/>
      <c r="F16" s="152" t="s">
        <v>169</v>
      </c>
      <c r="G16" s="151"/>
      <c r="H16" s="151"/>
      <c r="I16" s="153"/>
    </row>
    <row r="17" ht="34.5" customHeight="1">
      <c r="B17" s="305">
        <v>6.0</v>
      </c>
      <c r="C17" s="328" t="s">
        <v>1495</v>
      </c>
      <c r="D17" s="307"/>
      <c r="F17" s="152" t="s">
        <v>169</v>
      </c>
      <c r="G17" s="160"/>
      <c r="H17" s="160"/>
      <c r="I17" s="161"/>
    </row>
    <row r="18" ht="36.75" customHeight="1">
      <c r="B18" s="305">
        <v>7.0</v>
      </c>
      <c r="C18" s="328" t="s">
        <v>1496</v>
      </c>
      <c r="D18" s="307"/>
      <c r="F18" s="152" t="s">
        <v>169</v>
      </c>
      <c r="G18" s="151"/>
      <c r="H18" s="151"/>
      <c r="I18" s="153"/>
    </row>
    <row r="19" ht="41.25" customHeight="1">
      <c r="B19" s="305">
        <v>8.0</v>
      </c>
      <c r="C19" s="328" t="s">
        <v>1497</v>
      </c>
      <c r="D19" s="307"/>
      <c r="F19" s="152" t="s">
        <v>169</v>
      </c>
      <c r="G19" s="151"/>
      <c r="H19" s="151"/>
      <c r="I19" s="153"/>
    </row>
    <row r="20" ht="34.5" customHeight="1">
      <c r="B20" s="305">
        <v>9.0</v>
      </c>
      <c r="C20" s="328" t="s">
        <v>1498</v>
      </c>
      <c r="D20" s="307"/>
      <c r="F20" s="152" t="s">
        <v>169</v>
      </c>
      <c r="G20" s="151"/>
      <c r="H20" s="151"/>
      <c r="I20" s="153"/>
    </row>
    <row r="21" ht="54.0" customHeight="1">
      <c r="B21" s="305">
        <v>10.0</v>
      </c>
      <c r="C21" s="328" t="s">
        <v>1499</v>
      </c>
      <c r="D21" s="307"/>
      <c r="F21" s="152" t="s">
        <v>169</v>
      </c>
      <c r="G21" s="160"/>
      <c r="H21" s="160"/>
      <c r="I21" s="161"/>
    </row>
    <row r="22" ht="54.75" customHeight="1">
      <c r="B22" s="305">
        <v>11.0</v>
      </c>
      <c r="C22" s="328" t="s">
        <v>1500</v>
      </c>
      <c r="D22" s="307"/>
      <c r="F22" s="152" t="s">
        <v>169</v>
      </c>
      <c r="G22" s="31"/>
      <c r="H22" s="31"/>
      <c r="I22" s="31"/>
    </row>
    <row r="23" ht="36.0" customHeight="1">
      <c r="B23" s="305">
        <v>12.0</v>
      </c>
      <c r="C23" s="306" t="s">
        <v>1469</v>
      </c>
      <c r="D23" s="307"/>
      <c r="F23" s="152" t="s">
        <v>169</v>
      </c>
      <c r="G23" s="31"/>
      <c r="H23" s="31"/>
      <c r="I23" s="31"/>
    </row>
    <row r="24" ht="54.0" customHeight="1">
      <c r="B24" s="305">
        <v>13.0</v>
      </c>
      <c r="C24" s="328" t="s">
        <v>1501</v>
      </c>
      <c r="D24" s="307"/>
      <c r="F24" s="152" t="s">
        <v>169</v>
      </c>
      <c r="G24" s="31"/>
      <c r="H24" s="31"/>
      <c r="I24" s="31"/>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3">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23:D23"/>
    <mergeCell ref="C24:D24"/>
    <mergeCell ref="C16:D16"/>
    <mergeCell ref="C17:D17"/>
    <mergeCell ref="C18:D18"/>
    <mergeCell ref="C19:D19"/>
    <mergeCell ref="C20:D20"/>
    <mergeCell ref="C21:D21"/>
    <mergeCell ref="C22:D22"/>
  </mergeCells>
  <printOptions/>
  <pageMargins bottom="0.75" footer="0.0" header="0.0" left="0.7" right="0.7" top="0.75"/>
  <pageSetup orientation="landscape"/>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57"/>
    <col customWidth="1" min="12" max="26" width="11.43"/>
  </cols>
  <sheetData>
    <row r="2" ht="21.75" customHeight="1">
      <c r="B2" s="26" t="s">
        <v>124</v>
      </c>
      <c r="C2" s="27"/>
      <c r="D2" s="27"/>
      <c r="E2" s="27"/>
      <c r="F2" s="27"/>
      <c r="G2" s="27"/>
      <c r="H2" s="27"/>
      <c r="I2" s="27"/>
      <c r="K2" s="299" t="s">
        <v>125</v>
      </c>
      <c r="L2" s="29"/>
    </row>
    <row r="3" ht="15.0" customHeight="1">
      <c r="K3" s="31" t="s">
        <v>126</v>
      </c>
      <c r="L3" s="32">
        <f>COUNT(B12:D83)</f>
        <v>13</v>
      </c>
    </row>
    <row r="4">
      <c r="B4" s="33" t="s">
        <v>127</v>
      </c>
      <c r="C4" s="34" t="s">
        <v>128</v>
      </c>
      <c r="E4" s="34"/>
      <c r="K4" s="31" t="s">
        <v>129</v>
      </c>
      <c r="L4" s="32">
        <f>COUNTIF(F12:F83,"X")</f>
        <v>13</v>
      </c>
    </row>
    <row r="5">
      <c r="B5" s="33" t="s">
        <v>130</v>
      </c>
      <c r="C5" s="34" t="s">
        <v>131</v>
      </c>
      <c r="E5" s="34"/>
      <c r="K5" s="31" t="s">
        <v>134</v>
      </c>
      <c r="L5" s="35" t="str">
        <f>PERCENTOF(L4,L3)</f>
        <v>#NAME?</v>
      </c>
    </row>
    <row r="6">
      <c r="B6" s="33" t="s">
        <v>132</v>
      </c>
      <c r="C6" s="34" t="s">
        <v>133</v>
      </c>
      <c r="E6" s="34"/>
    </row>
    <row r="7">
      <c r="B7" s="66" t="s">
        <v>135</v>
      </c>
      <c r="D7" s="34" t="s">
        <v>136</v>
      </c>
      <c r="E7" s="34"/>
    </row>
    <row r="9">
      <c r="F9" s="37" t="s">
        <v>137</v>
      </c>
      <c r="G9" s="38"/>
      <c r="H9" s="39"/>
      <c r="I9" s="40" t="s">
        <v>250</v>
      </c>
    </row>
    <row r="10" ht="27.0" customHeight="1">
      <c r="B10" s="300" t="s">
        <v>1502</v>
      </c>
      <c r="C10" s="301"/>
      <c r="D10" s="301"/>
      <c r="E10" s="302"/>
      <c r="F10" s="44" t="s">
        <v>127</v>
      </c>
      <c r="G10" s="45" t="s">
        <v>130</v>
      </c>
      <c r="H10" s="45" t="s">
        <v>132</v>
      </c>
      <c r="I10" s="46"/>
      <c r="J10" s="67"/>
    </row>
    <row r="11" ht="11.25" customHeight="1">
      <c r="C11" s="303"/>
      <c r="D11" s="304"/>
    </row>
    <row r="12" ht="40.5" customHeight="1">
      <c r="B12" s="305">
        <v>1.0</v>
      </c>
      <c r="C12" s="308" t="s">
        <v>1503</v>
      </c>
      <c r="D12" s="309"/>
      <c r="E12" s="54"/>
      <c r="F12" s="152" t="s">
        <v>169</v>
      </c>
      <c r="G12" s="151"/>
      <c r="H12" s="151"/>
      <c r="I12" s="153"/>
    </row>
    <row r="13" ht="36.75" customHeight="1">
      <c r="B13" s="310">
        <v>2.0</v>
      </c>
      <c r="C13" s="311" t="s">
        <v>1504</v>
      </c>
      <c r="D13" s="309"/>
      <c r="E13" s="54"/>
      <c r="F13" s="152" t="s">
        <v>169</v>
      </c>
      <c r="G13" s="151"/>
      <c r="H13" s="151"/>
      <c r="I13" s="153"/>
    </row>
    <row r="14" ht="35.25" customHeight="1">
      <c r="B14" s="312">
        <v>3.0</v>
      </c>
      <c r="C14" s="308" t="s">
        <v>1505</v>
      </c>
      <c r="D14" s="309"/>
      <c r="F14" s="152" t="s">
        <v>169</v>
      </c>
      <c r="G14" s="151"/>
      <c r="H14" s="151"/>
      <c r="I14" s="153"/>
    </row>
    <row r="15" ht="34.5" customHeight="1">
      <c r="B15" s="305">
        <v>4.0</v>
      </c>
      <c r="C15" s="308" t="s">
        <v>1506</v>
      </c>
      <c r="D15" s="309"/>
      <c r="F15" s="152" t="s">
        <v>169</v>
      </c>
      <c r="G15" s="151"/>
      <c r="H15" s="151"/>
      <c r="I15" s="153"/>
    </row>
    <row r="16" ht="33.75" customHeight="1">
      <c r="B16" s="305">
        <v>5.0</v>
      </c>
      <c r="C16" s="308" t="s">
        <v>1507</v>
      </c>
      <c r="D16" s="309"/>
      <c r="F16" s="152" t="s">
        <v>169</v>
      </c>
      <c r="G16" s="151"/>
      <c r="H16" s="151"/>
      <c r="I16" s="153"/>
    </row>
    <row r="17">
      <c r="B17" s="305">
        <v>6.0</v>
      </c>
      <c r="C17" s="317" t="s">
        <v>1508</v>
      </c>
      <c r="D17" s="318"/>
      <c r="F17" s="152" t="s">
        <v>169</v>
      </c>
      <c r="G17" s="151"/>
      <c r="H17" s="151"/>
      <c r="I17" s="153"/>
    </row>
    <row r="18" ht="41.25" customHeight="1">
      <c r="B18" s="305">
        <v>7.0</v>
      </c>
      <c r="C18" s="319" t="s">
        <v>1509</v>
      </c>
      <c r="D18" s="307"/>
      <c r="F18" s="152" t="s">
        <v>169</v>
      </c>
      <c r="G18" s="151"/>
      <c r="H18" s="151"/>
      <c r="I18" s="153"/>
    </row>
    <row r="19" ht="34.5" customHeight="1">
      <c r="B19" s="305">
        <v>8.0</v>
      </c>
      <c r="C19" s="365" t="s">
        <v>1510</v>
      </c>
      <c r="D19" s="307"/>
      <c r="F19" s="152" t="s">
        <v>169</v>
      </c>
      <c r="G19" s="151"/>
      <c r="H19" s="151"/>
      <c r="I19" s="153"/>
    </row>
    <row r="20" ht="34.5" customHeight="1">
      <c r="B20" s="305">
        <v>9.0</v>
      </c>
      <c r="C20" s="365" t="s">
        <v>1511</v>
      </c>
      <c r="D20" s="307"/>
      <c r="F20" s="152" t="s">
        <v>169</v>
      </c>
      <c r="G20" s="160"/>
      <c r="H20" s="160"/>
      <c r="I20" s="161"/>
    </row>
    <row r="21" ht="36.75" customHeight="1">
      <c r="B21" s="305">
        <v>10.0</v>
      </c>
      <c r="C21" s="306" t="s">
        <v>1512</v>
      </c>
      <c r="D21" s="307"/>
      <c r="F21" s="152" t="s">
        <v>169</v>
      </c>
      <c r="G21" s="31"/>
      <c r="H21" s="31"/>
      <c r="I21" s="31"/>
    </row>
    <row r="22" ht="36.0" customHeight="1">
      <c r="B22" s="305">
        <v>11.0</v>
      </c>
      <c r="C22" s="306" t="s">
        <v>1513</v>
      </c>
      <c r="D22" s="307"/>
      <c r="F22" s="152" t="s">
        <v>169</v>
      </c>
      <c r="G22" s="31"/>
      <c r="H22" s="31"/>
      <c r="I22" s="31"/>
    </row>
    <row r="23" ht="43.5" customHeight="1">
      <c r="B23" s="305">
        <v>12.0</v>
      </c>
      <c r="C23" s="306" t="s">
        <v>1514</v>
      </c>
      <c r="D23" s="307"/>
      <c r="F23" s="152" t="s">
        <v>169</v>
      </c>
      <c r="G23" s="31"/>
      <c r="H23" s="31"/>
      <c r="I23" s="31"/>
    </row>
    <row r="24" ht="42.0" customHeight="1">
      <c r="B24" s="305">
        <v>13.0</v>
      </c>
      <c r="C24" s="306" t="s">
        <v>1515</v>
      </c>
      <c r="D24" s="307"/>
      <c r="F24" s="152" t="s">
        <v>169</v>
      </c>
      <c r="G24" s="31"/>
      <c r="H24" s="31"/>
      <c r="I24" s="31"/>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23">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23:D23"/>
    <mergeCell ref="C24:D24"/>
    <mergeCell ref="C16:D16"/>
    <mergeCell ref="C17:D17"/>
    <mergeCell ref="C18:D18"/>
    <mergeCell ref="C19:D19"/>
    <mergeCell ref="C20:D20"/>
    <mergeCell ref="C21:D21"/>
    <mergeCell ref="C22:D22"/>
  </mergeCells>
  <printOptions/>
  <pageMargins bottom="0.75" footer="0.0" header="0.0" left="0.7" right="0.7" top="0.75"/>
  <pageSetup orientation="landscape"/>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57"/>
    <col customWidth="1" min="12" max="26" width="11.43"/>
  </cols>
  <sheetData>
    <row r="2" ht="21.75" customHeight="1">
      <c r="B2" s="26" t="s">
        <v>124</v>
      </c>
      <c r="C2" s="27"/>
      <c r="D2" s="27"/>
      <c r="E2" s="27"/>
      <c r="F2" s="27"/>
      <c r="G2" s="27"/>
      <c r="H2" s="27"/>
      <c r="I2" s="27"/>
      <c r="K2" s="299" t="s">
        <v>125</v>
      </c>
      <c r="L2" s="29"/>
    </row>
    <row r="3" ht="15.0" customHeight="1">
      <c r="K3" s="31" t="s">
        <v>126</v>
      </c>
      <c r="L3" s="32">
        <f>COUNT(B12:D93)</f>
        <v>16</v>
      </c>
    </row>
    <row r="4">
      <c r="B4" s="33" t="s">
        <v>127</v>
      </c>
      <c r="C4" s="34" t="s">
        <v>128</v>
      </c>
      <c r="E4" s="34"/>
      <c r="K4" s="31" t="s">
        <v>129</v>
      </c>
      <c r="L4" s="32">
        <f>COUNTIF(F12:F93,"X")</f>
        <v>16</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00" t="s">
        <v>1516</v>
      </c>
      <c r="C10" s="301"/>
      <c r="D10" s="301"/>
      <c r="E10" s="302"/>
      <c r="F10" s="44" t="s">
        <v>127</v>
      </c>
      <c r="G10" s="45" t="s">
        <v>130</v>
      </c>
      <c r="H10" s="45" t="s">
        <v>132</v>
      </c>
      <c r="I10" s="46"/>
      <c r="J10" s="67"/>
    </row>
    <row r="11" ht="11.25" customHeight="1">
      <c r="C11" s="303"/>
      <c r="D11" s="304"/>
    </row>
    <row r="12" ht="36.0" customHeight="1">
      <c r="B12" s="305">
        <v>1.0</v>
      </c>
      <c r="C12" s="306" t="s">
        <v>1399</v>
      </c>
      <c r="D12" s="307"/>
      <c r="E12" s="54"/>
      <c r="F12" s="152" t="s">
        <v>169</v>
      </c>
      <c r="G12" s="151"/>
      <c r="H12" s="151"/>
      <c r="I12" s="153"/>
    </row>
    <row r="13" ht="40.5" customHeight="1">
      <c r="B13" s="305">
        <v>1.0</v>
      </c>
      <c r="C13" s="308" t="s">
        <v>1517</v>
      </c>
      <c r="D13" s="309"/>
      <c r="E13" s="54"/>
      <c r="F13" s="152" t="s">
        <v>169</v>
      </c>
      <c r="G13" s="151"/>
      <c r="H13" s="151"/>
      <c r="I13" s="153"/>
    </row>
    <row r="14" ht="36.75" customHeight="1">
      <c r="B14" s="310">
        <v>2.0</v>
      </c>
      <c r="C14" s="311" t="s">
        <v>1518</v>
      </c>
      <c r="D14" s="309"/>
      <c r="E14" s="54"/>
      <c r="F14" s="152" t="s">
        <v>169</v>
      </c>
      <c r="G14" s="151"/>
      <c r="H14" s="151"/>
      <c r="I14" s="153"/>
    </row>
    <row r="15" ht="35.25" customHeight="1">
      <c r="B15" s="312">
        <v>3.0</v>
      </c>
      <c r="C15" s="308" t="s">
        <v>1519</v>
      </c>
      <c r="D15" s="309"/>
      <c r="F15" s="152" t="s">
        <v>169</v>
      </c>
      <c r="G15" s="151"/>
      <c r="H15" s="151"/>
      <c r="I15" s="153"/>
    </row>
    <row r="16" ht="34.5" customHeight="1">
      <c r="B16" s="305">
        <v>4.0</v>
      </c>
      <c r="C16" s="308" t="s">
        <v>1520</v>
      </c>
      <c r="D16" s="309"/>
      <c r="F16" s="152" t="s">
        <v>169</v>
      </c>
      <c r="G16" s="151"/>
      <c r="H16" s="151"/>
      <c r="I16" s="153"/>
    </row>
    <row r="17" ht="33.75" customHeight="1">
      <c r="B17" s="305">
        <v>5.0</v>
      </c>
      <c r="C17" s="308" t="s">
        <v>1521</v>
      </c>
      <c r="D17" s="309"/>
      <c r="F17" s="152" t="s">
        <v>169</v>
      </c>
      <c r="G17" s="151"/>
      <c r="H17" s="151"/>
      <c r="I17" s="153"/>
    </row>
    <row r="18" ht="34.5" customHeight="1">
      <c r="B18" s="305">
        <v>6.0</v>
      </c>
      <c r="C18" s="306" t="s">
        <v>1522</v>
      </c>
      <c r="D18" s="307"/>
      <c r="F18" s="152" t="s">
        <v>169</v>
      </c>
      <c r="G18" s="160"/>
      <c r="H18" s="160"/>
      <c r="I18" s="161"/>
    </row>
    <row r="19" ht="36.75" customHeight="1">
      <c r="B19" s="305">
        <v>7.0</v>
      </c>
      <c r="C19" s="317" t="s">
        <v>1523</v>
      </c>
      <c r="D19" s="318"/>
      <c r="F19" s="152" t="s">
        <v>169</v>
      </c>
      <c r="G19" s="151"/>
      <c r="H19" s="151"/>
      <c r="I19" s="153"/>
    </row>
    <row r="20" ht="41.25" customHeight="1">
      <c r="B20" s="305">
        <v>8.0</v>
      </c>
      <c r="C20" s="319" t="s">
        <v>1524</v>
      </c>
      <c r="D20" s="307"/>
      <c r="F20" s="152" t="s">
        <v>169</v>
      </c>
      <c r="G20" s="151"/>
      <c r="H20" s="151"/>
      <c r="I20" s="153"/>
    </row>
    <row r="21" ht="34.5" customHeight="1">
      <c r="B21" s="305">
        <v>9.0</v>
      </c>
      <c r="C21" s="306" t="s">
        <v>1525</v>
      </c>
      <c r="D21" s="307"/>
      <c r="F21" s="152" t="s">
        <v>169</v>
      </c>
      <c r="G21" s="151"/>
      <c r="H21" s="151"/>
      <c r="I21" s="153"/>
    </row>
    <row r="22" ht="34.5" customHeight="1">
      <c r="B22" s="305">
        <v>10.0</v>
      </c>
      <c r="C22" s="306" t="s">
        <v>1526</v>
      </c>
      <c r="D22" s="307"/>
      <c r="F22" s="152" t="s">
        <v>169</v>
      </c>
      <c r="G22" s="160"/>
      <c r="H22" s="160"/>
      <c r="I22" s="161"/>
    </row>
    <row r="23" ht="36.75" customHeight="1">
      <c r="B23" s="305">
        <v>11.0</v>
      </c>
      <c r="C23" s="306" t="s">
        <v>1527</v>
      </c>
      <c r="D23" s="307"/>
      <c r="F23" s="152" t="s">
        <v>169</v>
      </c>
      <c r="G23" s="31"/>
      <c r="H23" s="31"/>
      <c r="I23" s="31"/>
    </row>
    <row r="24" ht="36.0" customHeight="1">
      <c r="B24" s="305">
        <v>12.0</v>
      </c>
      <c r="C24" s="306" t="s">
        <v>1528</v>
      </c>
      <c r="D24" s="307"/>
      <c r="F24" s="152" t="s">
        <v>169</v>
      </c>
      <c r="G24" s="31"/>
      <c r="H24" s="31"/>
      <c r="I24" s="31"/>
    </row>
    <row r="25" ht="35.25" customHeight="1">
      <c r="B25" s="305">
        <v>13.0</v>
      </c>
      <c r="C25" s="306" t="s">
        <v>1529</v>
      </c>
      <c r="D25" s="307"/>
      <c r="F25" s="152" t="s">
        <v>169</v>
      </c>
      <c r="G25" s="31"/>
      <c r="H25" s="31"/>
      <c r="I25" s="31"/>
    </row>
    <row r="26" ht="36.75" customHeight="1">
      <c r="B26" s="305">
        <v>14.0</v>
      </c>
      <c r="C26" s="306" t="s">
        <v>1530</v>
      </c>
      <c r="D26" s="307"/>
      <c r="F26" s="152" t="s">
        <v>169</v>
      </c>
      <c r="G26" s="31"/>
      <c r="H26" s="31"/>
      <c r="I26" s="31"/>
    </row>
    <row r="27" ht="32.25" customHeight="1">
      <c r="B27" s="305">
        <v>16.0</v>
      </c>
      <c r="C27" s="306" t="s">
        <v>1412</v>
      </c>
      <c r="D27" s="307"/>
      <c r="F27" s="152" t="s">
        <v>169</v>
      </c>
      <c r="G27" s="31"/>
      <c r="H27" s="31"/>
      <c r="I27" s="31"/>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23:D23"/>
    <mergeCell ref="C24:D24"/>
    <mergeCell ref="C25:D25"/>
    <mergeCell ref="C26:D26"/>
    <mergeCell ref="C27:D27"/>
    <mergeCell ref="C16:D16"/>
    <mergeCell ref="C17:D17"/>
    <mergeCell ref="C18:D18"/>
    <mergeCell ref="C19:D19"/>
    <mergeCell ref="C20:D20"/>
    <mergeCell ref="C21:D21"/>
    <mergeCell ref="C22:D22"/>
  </mergeCells>
  <printOptions/>
  <pageMargins bottom="0.75" footer="0.0" header="0.0" left="0.7" right="0.7" top="0.75"/>
  <pageSetup orientation="landscape"/>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496B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57"/>
    <col customWidth="1" min="12" max="26" width="11.43"/>
  </cols>
  <sheetData>
    <row r="2" ht="21.75" customHeight="1">
      <c r="B2" s="26" t="s">
        <v>124</v>
      </c>
      <c r="C2" s="27"/>
      <c r="D2" s="27"/>
      <c r="E2" s="27"/>
      <c r="F2" s="27"/>
      <c r="G2" s="27"/>
      <c r="H2" s="27"/>
      <c r="I2" s="27"/>
      <c r="K2" s="299" t="s">
        <v>125</v>
      </c>
      <c r="L2" s="29"/>
    </row>
    <row r="3" ht="15.0" customHeight="1">
      <c r="K3" s="31" t="s">
        <v>126</v>
      </c>
      <c r="L3" s="32">
        <f>COUNT(B12:D84)</f>
        <v>7</v>
      </c>
    </row>
    <row r="4">
      <c r="B4" s="33" t="s">
        <v>127</v>
      </c>
      <c r="C4" s="34" t="s">
        <v>128</v>
      </c>
      <c r="E4" s="34"/>
      <c r="K4" s="31" t="s">
        <v>129</v>
      </c>
      <c r="L4" s="32">
        <f>COUNTIF(F12:F84,"X")</f>
        <v>7</v>
      </c>
    </row>
    <row r="5">
      <c r="B5" s="33" t="s">
        <v>130</v>
      </c>
      <c r="C5" s="34" t="s">
        <v>131</v>
      </c>
      <c r="E5" s="34"/>
      <c r="K5" s="31" t="s">
        <v>134</v>
      </c>
      <c r="L5" s="35" t="str">
        <f>PERCENTOF(L4,L3)</f>
        <v>#NAME?</v>
      </c>
    </row>
    <row r="6">
      <c r="B6" s="33" t="s">
        <v>132</v>
      </c>
      <c r="C6" s="34" t="s">
        <v>133</v>
      </c>
      <c r="E6" s="34"/>
    </row>
    <row r="7">
      <c r="B7" s="66" t="s">
        <v>135</v>
      </c>
      <c r="D7" s="34" t="s">
        <v>136</v>
      </c>
      <c r="E7" s="34"/>
    </row>
    <row r="9">
      <c r="F9" s="37" t="s">
        <v>137</v>
      </c>
      <c r="G9" s="38"/>
      <c r="H9" s="39"/>
      <c r="I9" s="40" t="s">
        <v>250</v>
      </c>
    </row>
    <row r="10" ht="27.0" customHeight="1">
      <c r="B10" s="300" t="s">
        <v>1472</v>
      </c>
      <c r="C10" s="301"/>
      <c r="D10" s="301"/>
      <c r="E10" s="302"/>
      <c r="F10" s="44" t="s">
        <v>127</v>
      </c>
      <c r="G10" s="45" t="s">
        <v>130</v>
      </c>
      <c r="H10" s="45" t="s">
        <v>132</v>
      </c>
      <c r="I10" s="46"/>
      <c r="J10" s="67"/>
    </row>
    <row r="11" ht="11.25" customHeight="1">
      <c r="C11" s="303"/>
      <c r="D11" s="304"/>
    </row>
    <row r="12" ht="40.5" customHeight="1">
      <c r="B12" s="305">
        <v>1.0</v>
      </c>
      <c r="C12" s="308" t="s">
        <v>954</v>
      </c>
      <c r="D12" s="309"/>
      <c r="E12" s="54"/>
      <c r="F12" s="152" t="s">
        <v>169</v>
      </c>
      <c r="G12" s="151"/>
      <c r="H12" s="151"/>
      <c r="I12" s="153"/>
    </row>
    <row r="13" ht="35.25" customHeight="1">
      <c r="B13" s="312">
        <v>2.0</v>
      </c>
      <c r="C13" s="308" t="s">
        <v>956</v>
      </c>
      <c r="D13" s="309"/>
      <c r="F13" s="152" t="s">
        <v>169</v>
      </c>
      <c r="G13" s="151"/>
      <c r="H13" s="151"/>
      <c r="I13" s="153"/>
    </row>
    <row r="14" ht="34.5" customHeight="1">
      <c r="B14" s="305">
        <v>3.0</v>
      </c>
      <c r="C14" s="308" t="s">
        <v>957</v>
      </c>
      <c r="D14" s="309"/>
      <c r="F14" s="152" t="s">
        <v>169</v>
      </c>
      <c r="G14" s="151"/>
      <c r="H14" s="151"/>
      <c r="I14" s="153"/>
    </row>
    <row r="15" ht="34.5" customHeight="1">
      <c r="B15" s="305">
        <v>4.0</v>
      </c>
      <c r="C15" s="365" t="s">
        <v>1531</v>
      </c>
      <c r="D15" s="307"/>
      <c r="F15" s="152" t="s">
        <v>169</v>
      </c>
      <c r="G15" s="160"/>
      <c r="H15" s="160"/>
      <c r="I15" s="161"/>
    </row>
    <row r="16" ht="36.75" customHeight="1">
      <c r="B16" s="305">
        <v>5.0</v>
      </c>
      <c r="C16" s="306" t="s">
        <v>976</v>
      </c>
      <c r="D16" s="307"/>
      <c r="F16" s="152" t="s">
        <v>169</v>
      </c>
      <c r="G16" s="31"/>
      <c r="H16" s="31"/>
      <c r="I16" s="31"/>
    </row>
    <row r="17" ht="36.0" customHeight="1">
      <c r="B17" s="305">
        <v>6.0</v>
      </c>
      <c r="C17" s="306" t="s">
        <v>977</v>
      </c>
      <c r="D17" s="307"/>
      <c r="F17" s="152" t="s">
        <v>169</v>
      </c>
      <c r="G17" s="31"/>
      <c r="H17" s="31"/>
      <c r="I17" s="31"/>
    </row>
    <row r="18" ht="35.25" customHeight="1">
      <c r="B18" s="305">
        <v>7.0</v>
      </c>
      <c r="C18" s="306" t="s">
        <v>1532</v>
      </c>
      <c r="D18" s="307"/>
      <c r="F18" s="152" t="s">
        <v>169</v>
      </c>
      <c r="G18" s="31"/>
      <c r="H18" s="31"/>
      <c r="I18" s="31"/>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17">
    <mergeCell ref="B2:I2"/>
    <mergeCell ref="K2:L2"/>
    <mergeCell ref="C4:D4"/>
    <mergeCell ref="C5:D5"/>
    <mergeCell ref="C6:D6"/>
    <mergeCell ref="F9:H9"/>
    <mergeCell ref="I9:I10"/>
    <mergeCell ref="C16:D16"/>
    <mergeCell ref="C17:D17"/>
    <mergeCell ref="C18:D18"/>
    <mergeCell ref="B7:C7"/>
    <mergeCell ref="B10:D10"/>
    <mergeCell ref="C11:D11"/>
    <mergeCell ref="C12:D12"/>
    <mergeCell ref="C13:D13"/>
    <mergeCell ref="C14:D14"/>
    <mergeCell ref="C15:D15"/>
  </mergeCells>
  <printOptions/>
  <pageMargins bottom="0.75" footer="0.0" header="0.0" left="0.7" right="0.7" top="0.75"/>
  <pageSetup orientation="landscape"/>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496B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9.14"/>
    <col customWidth="1" min="11" max="11" width="14.57"/>
    <col customWidth="1" min="12" max="26" width="11.43"/>
  </cols>
  <sheetData>
    <row r="2" ht="21.75" customHeight="1">
      <c r="B2" s="26" t="s">
        <v>124</v>
      </c>
      <c r="C2" s="27"/>
      <c r="D2" s="27"/>
      <c r="E2" s="27"/>
      <c r="F2" s="27"/>
      <c r="G2" s="27"/>
      <c r="H2" s="27"/>
      <c r="I2" s="27"/>
      <c r="K2" s="299" t="s">
        <v>125</v>
      </c>
      <c r="L2" s="29"/>
    </row>
    <row r="3" ht="15.0" customHeight="1">
      <c r="K3" s="31" t="s">
        <v>126</v>
      </c>
      <c r="L3" s="32">
        <f>COUNT(B12:D93)</f>
        <v>16</v>
      </c>
    </row>
    <row r="4">
      <c r="B4" s="33" t="s">
        <v>127</v>
      </c>
      <c r="C4" s="34" t="s">
        <v>128</v>
      </c>
      <c r="E4" s="34"/>
      <c r="K4" s="31" t="s">
        <v>129</v>
      </c>
      <c r="L4" s="32">
        <f>COUNTIF(F12:F93,"X")</f>
        <v>16</v>
      </c>
    </row>
    <row r="5">
      <c r="B5" s="33" t="s">
        <v>130</v>
      </c>
      <c r="C5" s="34" t="s">
        <v>131</v>
      </c>
      <c r="E5" s="34"/>
      <c r="K5" s="31" t="s">
        <v>134</v>
      </c>
      <c r="L5" s="32" t="str">
        <f>PERCENTOF(L4,L3)</f>
        <v>#NAME?</v>
      </c>
    </row>
    <row r="6">
      <c r="B6" s="33" t="s">
        <v>132</v>
      </c>
      <c r="C6" s="34" t="s">
        <v>133</v>
      </c>
      <c r="E6" s="34"/>
    </row>
    <row r="7">
      <c r="B7" s="66" t="s">
        <v>135</v>
      </c>
      <c r="D7" s="34" t="s">
        <v>136</v>
      </c>
      <c r="E7" s="34"/>
    </row>
    <row r="9">
      <c r="F9" s="37" t="s">
        <v>137</v>
      </c>
      <c r="G9" s="38"/>
      <c r="H9" s="39"/>
      <c r="I9" s="40" t="s">
        <v>250</v>
      </c>
    </row>
    <row r="10" ht="27.0" customHeight="1">
      <c r="B10" s="300" t="s">
        <v>1533</v>
      </c>
      <c r="C10" s="301"/>
      <c r="D10" s="301"/>
      <c r="E10" s="302"/>
      <c r="F10" s="44" t="s">
        <v>127</v>
      </c>
      <c r="G10" s="45" t="s">
        <v>130</v>
      </c>
      <c r="H10" s="45" t="s">
        <v>132</v>
      </c>
      <c r="I10" s="46"/>
      <c r="J10" s="67"/>
    </row>
    <row r="11" ht="11.25" customHeight="1">
      <c r="C11" s="303"/>
      <c r="D11" s="304"/>
    </row>
    <row r="12" ht="36.0" customHeight="1">
      <c r="B12" s="305">
        <v>1.0</v>
      </c>
      <c r="C12" s="306" t="s">
        <v>1399</v>
      </c>
      <c r="D12" s="307"/>
      <c r="E12" s="54"/>
      <c r="F12" s="152" t="s">
        <v>169</v>
      </c>
      <c r="G12" s="151"/>
      <c r="H12" s="151"/>
      <c r="I12" s="153"/>
    </row>
    <row r="13" ht="40.5" customHeight="1">
      <c r="B13" s="305">
        <v>1.0</v>
      </c>
      <c r="C13" s="308" t="s">
        <v>979</v>
      </c>
      <c r="D13" s="309"/>
      <c r="E13" s="54"/>
      <c r="F13" s="152" t="s">
        <v>169</v>
      </c>
      <c r="G13" s="151"/>
      <c r="H13" s="151"/>
      <c r="I13" s="153"/>
    </row>
    <row r="14" ht="36.75" customHeight="1">
      <c r="B14" s="310">
        <v>2.0</v>
      </c>
      <c r="C14" s="311" t="s">
        <v>980</v>
      </c>
      <c r="D14" s="309"/>
      <c r="E14" s="54"/>
      <c r="F14" s="152" t="s">
        <v>169</v>
      </c>
      <c r="G14" s="151"/>
      <c r="H14" s="151"/>
      <c r="I14" s="153"/>
    </row>
    <row r="15" ht="35.25" customHeight="1">
      <c r="B15" s="312">
        <v>3.0</v>
      </c>
      <c r="C15" s="308" t="s">
        <v>981</v>
      </c>
      <c r="D15" s="309"/>
      <c r="F15" s="152" t="s">
        <v>169</v>
      </c>
      <c r="G15" s="151"/>
      <c r="H15" s="151"/>
      <c r="I15" s="153"/>
    </row>
    <row r="16" ht="34.5" customHeight="1">
      <c r="B16" s="305">
        <v>4.0</v>
      </c>
      <c r="C16" s="308" t="s">
        <v>982</v>
      </c>
      <c r="D16" s="309"/>
      <c r="F16" s="152" t="s">
        <v>169</v>
      </c>
      <c r="G16" s="151"/>
      <c r="H16" s="151"/>
      <c r="I16" s="153"/>
    </row>
    <row r="17" ht="33.75" customHeight="1">
      <c r="B17" s="305">
        <v>5.0</v>
      </c>
      <c r="C17" s="308" t="s">
        <v>983</v>
      </c>
      <c r="D17" s="309"/>
      <c r="F17" s="152" t="s">
        <v>169</v>
      </c>
      <c r="G17" s="151"/>
      <c r="H17" s="151"/>
      <c r="I17" s="153"/>
    </row>
    <row r="18" ht="34.5" customHeight="1">
      <c r="B18" s="305">
        <v>6.0</v>
      </c>
      <c r="C18" s="306" t="s">
        <v>984</v>
      </c>
      <c r="D18" s="307"/>
      <c r="F18" s="152" t="s">
        <v>169</v>
      </c>
      <c r="G18" s="160"/>
      <c r="H18" s="160"/>
      <c r="I18" s="161"/>
    </row>
    <row r="19" ht="36.75" customHeight="1">
      <c r="B19" s="305">
        <v>7.0</v>
      </c>
      <c r="C19" s="317" t="s">
        <v>985</v>
      </c>
      <c r="D19" s="318"/>
      <c r="F19" s="152" t="s">
        <v>169</v>
      </c>
      <c r="G19" s="151"/>
      <c r="H19" s="151"/>
      <c r="I19" s="153"/>
    </row>
    <row r="20" ht="41.25" customHeight="1">
      <c r="B20" s="305">
        <v>8.0</v>
      </c>
      <c r="C20" s="319" t="s">
        <v>986</v>
      </c>
      <c r="D20" s="307"/>
      <c r="F20" s="152" t="s">
        <v>169</v>
      </c>
      <c r="G20" s="151"/>
      <c r="H20" s="151"/>
      <c r="I20" s="153"/>
    </row>
    <row r="21" ht="34.5" customHeight="1">
      <c r="B21" s="305">
        <v>9.0</v>
      </c>
      <c r="C21" s="306" t="s">
        <v>1436</v>
      </c>
      <c r="D21" s="307"/>
      <c r="F21" s="152" t="s">
        <v>169</v>
      </c>
      <c r="G21" s="151"/>
      <c r="H21" s="151"/>
      <c r="I21" s="153"/>
    </row>
    <row r="22" ht="34.5" customHeight="1">
      <c r="B22" s="305">
        <v>10.0</v>
      </c>
      <c r="C22" s="306" t="s">
        <v>1437</v>
      </c>
      <c r="D22" s="307"/>
      <c r="F22" s="152" t="s">
        <v>169</v>
      </c>
      <c r="G22" s="160"/>
      <c r="H22" s="160"/>
      <c r="I22" s="161"/>
    </row>
    <row r="23" ht="36.75" customHeight="1">
      <c r="B23" s="305">
        <v>11.0</v>
      </c>
      <c r="C23" s="306" t="s">
        <v>1438</v>
      </c>
      <c r="D23" s="307"/>
      <c r="F23" s="152" t="s">
        <v>169</v>
      </c>
      <c r="G23" s="31"/>
      <c r="H23" s="31"/>
      <c r="I23" s="31"/>
    </row>
    <row r="24" ht="36.0" customHeight="1">
      <c r="B24" s="305">
        <v>12.0</v>
      </c>
      <c r="C24" s="306" t="s">
        <v>1439</v>
      </c>
      <c r="D24" s="307"/>
      <c r="F24" s="152" t="s">
        <v>169</v>
      </c>
      <c r="G24" s="31"/>
      <c r="H24" s="31"/>
      <c r="I24" s="31"/>
    </row>
    <row r="25" ht="35.25" customHeight="1">
      <c r="B25" s="305">
        <v>13.0</v>
      </c>
      <c r="C25" s="306" t="s">
        <v>1440</v>
      </c>
      <c r="D25" s="307"/>
      <c r="F25" s="152" t="s">
        <v>169</v>
      </c>
      <c r="G25" s="31"/>
      <c r="H25" s="31"/>
      <c r="I25" s="31"/>
    </row>
    <row r="26" ht="36.75" customHeight="1">
      <c r="B26" s="305">
        <v>14.0</v>
      </c>
      <c r="C26" s="306" t="s">
        <v>1441</v>
      </c>
      <c r="D26" s="307"/>
      <c r="F26" s="152" t="s">
        <v>169</v>
      </c>
      <c r="G26" s="31"/>
      <c r="H26" s="31"/>
      <c r="I26" s="31"/>
    </row>
    <row r="27" ht="32.25" customHeight="1">
      <c r="B27" s="305">
        <v>16.0</v>
      </c>
      <c r="C27" s="306" t="s">
        <v>1412</v>
      </c>
      <c r="D27" s="307"/>
      <c r="F27" s="152" t="s">
        <v>169</v>
      </c>
      <c r="G27" s="31"/>
      <c r="H27" s="31"/>
      <c r="I27" s="31"/>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23:D23"/>
    <mergeCell ref="C24:D24"/>
    <mergeCell ref="C25:D25"/>
    <mergeCell ref="C26:D26"/>
    <mergeCell ref="C27:D27"/>
    <mergeCell ref="C16:D16"/>
    <mergeCell ref="C17:D17"/>
    <mergeCell ref="C18:D18"/>
    <mergeCell ref="C19:D19"/>
    <mergeCell ref="C20:D20"/>
    <mergeCell ref="C21:D21"/>
    <mergeCell ref="C22:D2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2023-07-01T11:34:04Z</dcterms:created>
  <dc:creator>Andres</dc:creator>
</cp:coreProperties>
</file>